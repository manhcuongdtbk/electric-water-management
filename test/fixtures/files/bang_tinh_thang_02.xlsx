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HẬU ĐIỆN NƯỚC\2026\T2\"/>
    </mc:Choice>
  </mc:AlternateContent>
  <bookViews>
    <workbookView xWindow="-120" yWindow="-120" windowWidth="29040" windowHeight="15720" firstSheet="1" activeTab="2"/>
  </bookViews>
  <sheets>
    <sheet name="Kangatang" sheetId="3" state="veryHidden" r:id="rId1"/>
    <sheet name="Sheet1" sheetId="1" r:id="rId2"/>
    <sheet name="Sheet1 (2)" sheetId="2" r:id="rId3"/>
  </sheets>
  <definedNames>
    <definedName name="_xlnm.Print_Area" localSheetId="1">Sheet1!$A$1:$I$170</definedName>
    <definedName name="_xlnm.Print_Area" localSheetId="2">'Sheet1 (2)'!$A$1:$W$101</definedName>
    <definedName name="_xlnm.Print_Titles" localSheetId="2">'Sheet1 (2)'!$6:$8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7" i="2" l="1"/>
  <c r="C170" i="1" l="1"/>
  <c r="K78" i="1" l="1"/>
  <c r="K79" i="1"/>
  <c r="G50" i="1" l="1"/>
  <c r="G22" i="1" l="1"/>
  <c r="G25" i="1" l="1"/>
  <c r="G124" i="1"/>
  <c r="S30" i="2" l="1"/>
  <c r="M30" i="2"/>
  <c r="J30" i="2"/>
  <c r="I30" i="2"/>
  <c r="K30" i="2" l="1"/>
  <c r="L30" i="2"/>
  <c r="G78" i="1"/>
  <c r="N30" i="2" l="1"/>
  <c r="G96" i="1"/>
  <c r="G94" i="1"/>
  <c r="G121" i="1"/>
  <c r="G26" i="1"/>
  <c r="I12" i="2" l="1"/>
  <c r="J12" i="2"/>
  <c r="S12" i="2"/>
  <c r="K12" i="2" l="1"/>
  <c r="L12" i="2"/>
  <c r="L28" i="1"/>
  <c r="L29" i="1"/>
  <c r="G83" i="1"/>
  <c r="G84" i="1"/>
  <c r="S58" i="2"/>
  <c r="I58" i="2"/>
  <c r="J58" i="2"/>
  <c r="M58" i="2"/>
  <c r="S31" i="2"/>
  <c r="I31" i="2"/>
  <c r="J31" i="2"/>
  <c r="M31" i="2"/>
  <c r="N12" i="2" l="1"/>
  <c r="K58" i="2"/>
  <c r="L58" i="2"/>
  <c r="L31" i="2"/>
  <c r="K31" i="2"/>
  <c r="G42" i="1"/>
  <c r="G71" i="1"/>
  <c r="G72" i="1"/>
  <c r="N31" i="2" l="1"/>
  <c r="N58" i="2"/>
  <c r="I88" i="2"/>
  <c r="J88" i="2"/>
  <c r="M88" i="2"/>
  <c r="S88" i="2"/>
  <c r="I89" i="2"/>
  <c r="J89" i="2"/>
  <c r="M89" i="2"/>
  <c r="S89" i="2"/>
  <c r="L89" i="2" l="1"/>
  <c r="K88" i="2"/>
  <c r="K89" i="2"/>
  <c r="L88" i="2"/>
  <c r="N89" i="2" l="1"/>
  <c r="N88" i="2"/>
  <c r="G55" i="1"/>
  <c r="I41" i="2" l="1"/>
  <c r="G85" i="1" l="1"/>
  <c r="G70" i="1" l="1"/>
  <c r="G30" i="1" l="1"/>
  <c r="G28" i="1" l="1"/>
  <c r="G29" i="1"/>
  <c r="H92" i="2" l="1"/>
  <c r="K30" i="1" l="1"/>
  <c r="K31" i="1"/>
  <c r="I84" i="2" l="1"/>
  <c r="J84" i="2"/>
  <c r="M84" i="2"/>
  <c r="S84" i="2"/>
  <c r="I83" i="2"/>
  <c r="J83" i="2"/>
  <c r="M83" i="2"/>
  <c r="S83" i="2"/>
  <c r="I81" i="2"/>
  <c r="J81" i="2"/>
  <c r="M81" i="2"/>
  <c r="S81" i="2"/>
  <c r="I78" i="2"/>
  <c r="J78" i="2"/>
  <c r="M78" i="2"/>
  <c r="S78" i="2"/>
  <c r="I75" i="2"/>
  <c r="J75" i="2"/>
  <c r="M75" i="2"/>
  <c r="I76" i="2"/>
  <c r="J76" i="2"/>
  <c r="M76" i="2"/>
  <c r="S75" i="2"/>
  <c r="S76" i="2"/>
  <c r="I72" i="2"/>
  <c r="J72" i="2"/>
  <c r="M72" i="2"/>
  <c r="S72" i="2"/>
  <c r="I73" i="2"/>
  <c r="J73" i="2"/>
  <c r="M73" i="2"/>
  <c r="S73" i="2"/>
  <c r="I69" i="2"/>
  <c r="J69" i="2"/>
  <c r="M69" i="2"/>
  <c r="S69" i="2"/>
  <c r="I70" i="2"/>
  <c r="J70" i="2"/>
  <c r="M70" i="2"/>
  <c r="S70" i="2"/>
  <c r="I59" i="2"/>
  <c r="J59" i="2"/>
  <c r="M59" i="2"/>
  <c r="S59" i="2"/>
  <c r="I55" i="2"/>
  <c r="J55" i="2"/>
  <c r="M55" i="2"/>
  <c r="S55" i="2"/>
  <c r="I56" i="2"/>
  <c r="J56" i="2"/>
  <c r="M56" i="2"/>
  <c r="S56" i="2"/>
  <c r="L76" i="2" l="1"/>
  <c r="K70" i="2"/>
  <c r="K56" i="2"/>
  <c r="K76" i="2"/>
  <c r="K83" i="2"/>
  <c r="K75" i="2"/>
  <c r="K84" i="2"/>
  <c r="L83" i="2"/>
  <c r="L75" i="2"/>
  <c r="K81" i="2"/>
  <c r="L84" i="2"/>
  <c r="L81" i="2"/>
  <c r="K72" i="2"/>
  <c r="K55" i="2"/>
  <c r="K73" i="2"/>
  <c r="L70" i="2"/>
  <c r="L78" i="2"/>
  <c r="K78" i="2"/>
  <c r="L73" i="2"/>
  <c r="L72" i="2"/>
  <c r="L69" i="2"/>
  <c r="K69" i="2"/>
  <c r="K59" i="2"/>
  <c r="L59" i="2"/>
  <c r="L56" i="2"/>
  <c r="L55" i="2"/>
  <c r="I53" i="2"/>
  <c r="J53" i="2"/>
  <c r="M53" i="2"/>
  <c r="S53" i="2"/>
  <c r="I51" i="2"/>
  <c r="J51" i="2"/>
  <c r="M51" i="2"/>
  <c r="S51" i="2"/>
  <c r="I37" i="2"/>
  <c r="J37" i="2"/>
  <c r="M37" i="2"/>
  <c r="S37" i="2"/>
  <c r="I33" i="2"/>
  <c r="J33" i="2"/>
  <c r="M33" i="2"/>
  <c r="S33" i="2"/>
  <c r="I34" i="2"/>
  <c r="J34" i="2"/>
  <c r="M34" i="2"/>
  <c r="S34" i="2"/>
  <c r="I35" i="2"/>
  <c r="J35" i="2"/>
  <c r="M35" i="2"/>
  <c r="S35" i="2"/>
  <c r="I28" i="2"/>
  <c r="J28" i="2"/>
  <c r="M28" i="2"/>
  <c r="S28" i="2"/>
  <c r="I26" i="2"/>
  <c r="J26" i="2"/>
  <c r="M26" i="2"/>
  <c r="S26" i="2"/>
  <c r="I24" i="2"/>
  <c r="J24" i="2"/>
  <c r="M24" i="2"/>
  <c r="S24" i="2"/>
  <c r="I22" i="2"/>
  <c r="J22" i="2"/>
  <c r="M22" i="2"/>
  <c r="S22" i="2"/>
  <c r="N56" i="2" l="1"/>
  <c r="N76" i="2"/>
  <c r="N70" i="2"/>
  <c r="N81" i="2"/>
  <c r="N69" i="2"/>
  <c r="N75" i="2"/>
  <c r="N73" i="2"/>
  <c r="N83" i="2"/>
  <c r="N55" i="2"/>
  <c r="N84" i="2"/>
  <c r="N78" i="2"/>
  <c r="N72" i="2"/>
  <c r="K51" i="2"/>
  <c r="N59" i="2"/>
  <c r="K33" i="2"/>
  <c r="K53" i="2"/>
  <c r="L53" i="2"/>
  <c r="L22" i="2"/>
  <c r="L28" i="2"/>
  <c r="L51" i="2"/>
  <c r="K34" i="2"/>
  <c r="L33" i="2"/>
  <c r="K35" i="2"/>
  <c r="K28" i="2"/>
  <c r="L34" i="2"/>
  <c r="L37" i="2"/>
  <c r="K37" i="2"/>
  <c r="L35" i="2"/>
  <c r="L26" i="2"/>
  <c r="K26" i="2"/>
  <c r="L24" i="2"/>
  <c r="K24" i="2"/>
  <c r="K22" i="2"/>
  <c r="I17" i="2"/>
  <c r="J17" i="2"/>
  <c r="M17" i="2"/>
  <c r="S17" i="2"/>
  <c r="I18" i="2"/>
  <c r="J18" i="2"/>
  <c r="M18" i="2"/>
  <c r="S18" i="2"/>
  <c r="I19" i="2"/>
  <c r="J19" i="2"/>
  <c r="M19" i="2"/>
  <c r="S19" i="2"/>
  <c r="I20" i="2"/>
  <c r="J20" i="2"/>
  <c r="M20" i="2"/>
  <c r="S20" i="2"/>
  <c r="I14" i="2"/>
  <c r="J14" i="2"/>
  <c r="M14" i="2"/>
  <c r="S14" i="2"/>
  <c r="I15" i="2"/>
  <c r="J15" i="2"/>
  <c r="M15" i="2"/>
  <c r="S15" i="2"/>
  <c r="N34" i="2" l="1"/>
  <c r="N51" i="2"/>
  <c r="N53" i="2"/>
  <c r="L17" i="2"/>
  <c r="N28" i="2"/>
  <c r="N33" i="2"/>
  <c r="N35" i="2"/>
  <c r="N37" i="2"/>
  <c r="N22" i="2"/>
  <c r="K18" i="2"/>
  <c r="N24" i="2"/>
  <c r="L20" i="2"/>
  <c r="K17" i="2"/>
  <c r="L18" i="2"/>
  <c r="N26" i="2"/>
  <c r="K20" i="2"/>
  <c r="K19" i="2"/>
  <c r="L19" i="2"/>
  <c r="L14" i="2"/>
  <c r="K15" i="2"/>
  <c r="L15" i="2"/>
  <c r="K14" i="2"/>
  <c r="S82" i="2"/>
  <c r="I87" i="2"/>
  <c r="J87" i="2"/>
  <c r="M87" i="2"/>
  <c r="S87" i="2"/>
  <c r="N18" i="2" l="1"/>
  <c r="N17" i="2"/>
  <c r="N19" i="2"/>
  <c r="N20" i="2"/>
  <c r="N14" i="2"/>
  <c r="N15" i="2"/>
  <c r="K87" i="2"/>
  <c r="L87" i="2"/>
  <c r="N87" i="2" l="1"/>
  <c r="M61" i="2" l="1"/>
  <c r="M60" i="2"/>
  <c r="M57" i="2"/>
  <c r="M54" i="2"/>
  <c r="M52" i="2"/>
  <c r="M50" i="2"/>
  <c r="M49" i="2"/>
  <c r="S91" i="2"/>
  <c r="S90" i="2"/>
  <c r="S86" i="2"/>
  <c r="S80" i="2"/>
  <c r="S79" i="2"/>
  <c r="S77" i="2"/>
  <c r="S74" i="2"/>
  <c r="S71" i="2"/>
  <c r="S68" i="2"/>
  <c r="S67" i="2"/>
  <c r="S66" i="2"/>
  <c r="S65" i="2"/>
  <c r="S64" i="2"/>
  <c r="S63" i="2"/>
  <c r="S61" i="2"/>
  <c r="S60" i="2"/>
  <c r="S57" i="2"/>
  <c r="S54" i="2"/>
  <c r="S52" i="2"/>
  <c r="S50" i="2"/>
  <c r="S49" i="2"/>
  <c r="S48" i="2"/>
  <c r="S47" i="2"/>
  <c r="S46" i="2"/>
  <c r="S45" i="2"/>
  <c r="S43" i="2"/>
  <c r="S42" i="2"/>
  <c r="S41" i="2"/>
  <c r="S40" i="2"/>
  <c r="S39" i="2"/>
  <c r="S38" i="2"/>
  <c r="S36" i="2"/>
  <c r="S32" i="2"/>
  <c r="S29" i="2"/>
  <c r="S27" i="2"/>
  <c r="S25" i="2"/>
  <c r="S23" i="2"/>
  <c r="S21" i="2"/>
  <c r="S16" i="2"/>
  <c r="S13" i="2"/>
  <c r="S11" i="2"/>
  <c r="S10" i="2"/>
  <c r="J43" i="2"/>
  <c r="I43" i="2"/>
  <c r="M91" i="2"/>
  <c r="M90" i="2"/>
  <c r="M86" i="2"/>
  <c r="M82" i="2"/>
  <c r="M80" i="2"/>
  <c r="M79" i="2"/>
  <c r="M77" i="2"/>
  <c r="M74" i="2"/>
  <c r="M71" i="2"/>
  <c r="M68" i="2"/>
  <c r="M67" i="2"/>
  <c r="M66" i="2"/>
  <c r="M41" i="2"/>
  <c r="M40" i="2"/>
  <c r="M39" i="2"/>
  <c r="M38" i="2"/>
  <c r="M36" i="2"/>
  <c r="M32" i="2"/>
  <c r="M29" i="2"/>
  <c r="M27" i="2"/>
  <c r="M25" i="2"/>
  <c r="M23" i="2"/>
  <c r="M21" i="2"/>
  <c r="M16" i="2"/>
  <c r="M13" i="2"/>
  <c r="G147" i="1"/>
  <c r="G144" i="1"/>
  <c r="M42" i="2" l="1"/>
  <c r="L43" i="2"/>
  <c r="K43" i="2"/>
  <c r="I10" i="2"/>
  <c r="N43" i="2" l="1"/>
  <c r="J91" i="2"/>
  <c r="I91" i="2"/>
  <c r="J90" i="2"/>
  <c r="I90" i="2"/>
  <c r="J86" i="2"/>
  <c r="I86" i="2"/>
  <c r="J82" i="2"/>
  <c r="I82" i="2"/>
  <c r="J80" i="2"/>
  <c r="I80" i="2"/>
  <c r="J79" i="2"/>
  <c r="I79" i="2"/>
  <c r="J77" i="2"/>
  <c r="I77" i="2"/>
  <c r="J74" i="2"/>
  <c r="I74" i="2"/>
  <c r="J71" i="2"/>
  <c r="I71" i="2"/>
  <c r="J68" i="2"/>
  <c r="I68" i="2"/>
  <c r="J67" i="2"/>
  <c r="I67" i="2"/>
  <c r="J66" i="2"/>
  <c r="I66" i="2"/>
  <c r="J65" i="2"/>
  <c r="I65" i="2"/>
  <c r="J64" i="2"/>
  <c r="I64" i="2"/>
  <c r="J63" i="2"/>
  <c r="I63" i="2"/>
  <c r="J61" i="2"/>
  <c r="I61" i="2"/>
  <c r="J60" i="2"/>
  <c r="I60" i="2"/>
  <c r="J57" i="2"/>
  <c r="I57" i="2"/>
  <c r="J54" i="2"/>
  <c r="I54" i="2"/>
  <c r="J52" i="2"/>
  <c r="I52" i="2"/>
  <c r="J50" i="2"/>
  <c r="I50" i="2"/>
  <c r="J49" i="2"/>
  <c r="I49" i="2"/>
  <c r="J48" i="2"/>
  <c r="I48" i="2"/>
  <c r="J47" i="2"/>
  <c r="I47" i="2"/>
  <c r="J46" i="2"/>
  <c r="I46" i="2"/>
  <c r="J45" i="2"/>
  <c r="I45" i="2"/>
  <c r="J42" i="2"/>
  <c r="I42" i="2"/>
  <c r="J41" i="2"/>
  <c r="J40" i="2"/>
  <c r="I40" i="2"/>
  <c r="J39" i="2"/>
  <c r="I39" i="2"/>
  <c r="J38" i="2"/>
  <c r="I38" i="2"/>
  <c r="J36" i="2"/>
  <c r="I36" i="2"/>
  <c r="J32" i="2"/>
  <c r="I32" i="2"/>
  <c r="J29" i="2"/>
  <c r="I29" i="2"/>
  <c r="J27" i="2"/>
  <c r="I27" i="2"/>
  <c r="J25" i="2"/>
  <c r="I25" i="2"/>
  <c r="J23" i="2"/>
  <c r="I23" i="2"/>
  <c r="J21" i="2"/>
  <c r="I21" i="2"/>
  <c r="J16" i="2"/>
  <c r="I16" i="2"/>
  <c r="J13" i="2"/>
  <c r="I13" i="2"/>
  <c r="J11" i="2"/>
  <c r="I11" i="2"/>
  <c r="J10" i="2"/>
  <c r="K10" i="2" s="1"/>
  <c r="G92" i="2"/>
  <c r="P92" i="2" s="1"/>
  <c r="F92" i="2"/>
  <c r="G133" i="1"/>
  <c r="G149" i="1"/>
  <c r="G134" i="1"/>
  <c r="G16" i="1"/>
  <c r="G86" i="1"/>
  <c r="G115" i="1"/>
  <c r="E7" i="1"/>
  <c r="G135" i="1"/>
  <c r="G152" i="1"/>
  <c r="G142" i="1"/>
  <c r="G141" i="1"/>
  <c r="G140" i="1"/>
  <c r="G139" i="1"/>
  <c r="G138" i="1"/>
  <c r="L10" i="2" l="1"/>
  <c r="N10" i="2" s="1"/>
  <c r="K16" i="2"/>
  <c r="L32" i="2"/>
  <c r="K48" i="2"/>
  <c r="K60" i="2"/>
  <c r="L67" i="2"/>
  <c r="L47" i="2"/>
  <c r="K79" i="2"/>
  <c r="K13" i="2"/>
  <c r="K41" i="2"/>
  <c r="L61" i="2"/>
  <c r="L68" i="2"/>
  <c r="L36" i="2"/>
  <c r="L45" i="2"/>
  <c r="K45" i="2"/>
  <c r="L27" i="2"/>
  <c r="L13" i="2"/>
  <c r="L79" i="2"/>
  <c r="L16" i="2"/>
  <c r="L65" i="2"/>
  <c r="L41" i="2"/>
  <c r="K36" i="2"/>
  <c r="K65" i="2"/>
  <c r="L49" i="2"/>
  <c r="L60" i="2"/>
  <c r="K47" i="2"/>
  <c r="K68" i="2"/>
  <c r="K27" i="2"/>
  <c r="N27" i="2" s="1"/>
  <c r="K61" i="2"/>
  <c r="K11" i="2"/>
  <c r="K54" i="2"/>
  <c r="L11" i="2"/>
  <c r="L54" i="2"/>
  <c r="L46" i="2"/>
  <c r="K46" i="2"/>
  <c r="L80" i="2"/>
  <c r="L29" i="2"/>
  <c r="L57" i="2"/>
  <c r="K57" i="2"/>
  <c r="L66" i="2"/>
  <c r="K80" i="2"/>
  <c r="K23" i="2"/>
  <c r="K29" i="2"/>
  <c r="K42" i="2"/>
  <c r="K50" i="2"/>
  <c r="K63" i="2"/>
  <c r="K66" i="2"/>
  <c r="K74" i="2"/>
  <c r="L90" i="2"/>
  <c r="L23" i="2"/>
  <c r="K39" i="2"/>
  <c r="L42" i="2"/>
  <c r="L50" i="2"/>
  <c r="L63" i="2"/>
  <c r="L74" i="2"/>
  <c r="L39" i="2"/>
  <c r="K90" i="2"/>
  <c r="L25" i="2"/>
  <c r="K25" i="2"/>
  <c r="L64" i="2"/>
  <c r="K64" i="2"/>
  <c r="L77" i="2"/>
  <c r="K77" i="2"/>
  <c r="L40" i="2"/>
  <c r="K40" i="2"/>
  <c r="L48" i="2"/>
  <c r="K86" i="2"/>
  <c r="K38" i="2"/>
  <c r="K52" i="2"/>
  <c r="K71" i="2"/>
  <c r="L86" i="2"/>
  <c r="K21" i="2"/>
  <c r="L38" i="2"/>
  <c r="L52" i="2"/>
  <c r="L71" i="2"/>
  <c r="K82" i="2"/>
  <c r="K91" i="2"/>
  <c r="L21" i="2"/>
  <c r="K32" i="2"/>
  <c r="K49" i="2"/>
  <c r="K67" i="2"/>
  <c r="N67" i="2" s="1"/>
  <c r="L82" i="2"/>
  <c r="L91" i="2"/>
  <c r="E8" i="1"/>
  <c r="H10" i="1" s="1"/>
  <c r="N41" i="2" l="1"/>
  <c r="N50" i="2"/>
  <c r="N63" i="2"/>
  <c r="N46" i="2"/>
  <c r="N21" i="2"/>
  <c r="N47" i="2"/>
  <c r="N86" i="2"/>
  <c r="N49" i="2"/>
  <c r="N11" i="2"/>
  <c r="N60" i="2"/>
  <c r="N39" i="2"/>
  <c r="N82" i="2"/>
  <c r="N71" i="2"/>
  <c r="N64" i="2"/>
  <c r="N90" i="2"/>
  <c r="N68" i="2"/>
  <c r="N45" i="2"/>
  <c r="N48" i="2"/>
  <c r="N25" i="2"/>
  <c r="N66" i="2"/>
  <c r="N65" i="2"/>
  <c r="N38" i="2"/>
  <c r="N42" i="2"/>
  <c r="N36" i="2"/>
  <c r="N32" i="2"/>
  <c r="N29" i="2"/>
  <c r="N13" i="2"/>
  <c r="N91" i="2"/>
  <c r="N40" i="2"/>
  <c r="N80" i="2"/>
  <c r="N54" i="2"/>
  <c r="N77" i="2"/>
  <c r="N57" i="2"/>
  <c r="N52" i="2"/>
  <c r="N79" i="2"/>
  <c r="N61" i="2"/>
  <c r="N74" i="2"/>
  <c r="N23" i="2"/>
  <c r="N16" i="2"/>
  <c r="G148" i="1"/>
  <c r="G118" i="1"/>
  <c r="G117" i="1"/>
  <c r="G145" i="1"/>
  <c r="G130" i="1"/>
  <c r="G151" i="1"/>
  <c r="G119" i="1"/>
  <c r="G131" i="1"/>
  <c r="G129" i="1"/>
  <c r="G128" i="1"/>
  <c r="G127" i="1"/>
  <c r="G126" i="1"/>
  <c r="G125" i="1"/>
  <c r="G123" i="1"/>
  <c r="G122" i="1"/>
  <c r="G150" i="1"/>
  <c r="G136" i="1"/>
  <c r="G137" i="1"/>
  <c r="G132" i="1"/>
  <c r="G120" i="1"/>
  <c r="G143" i="1"/>
  <c r="G116" i="1"/>
  <c r="G114" i="1"/>
  <c r="G113" i="1"/>
  <c r="G112" i="1"/>
  <c r="G111" i="1"/>
  <c r="G110" i="1"/>
  <c r="G109" i="1"/>
  <c r="G108" i="1"/>
  <c r="G107" i="1"/>
  <c r="G98" i="1"/>
  <c r="G97" i="1"/>
  <c r="G95" i="1"/>
  <c r="G93" i="1"/>
  <c r="G92" i="1"/>
  <c r="G91" i="1"/>
  <c r="G90" i="1"/>
  <c r="G89" i="1"/>
  <c r="G88" i="1"/>
  <c r="G87" i="1"/>
  <c r="G146" i="1" s="1"/>
  <c r="G81" i="1"/>
  <c r="G82" i="1"/>
  <c r="G80" i="1"/>
  <c r="G79" i="1"/>
  <c r="G77" i="1"/>
  <c r="G75" i="1"/>
  <c r="G73" i="1"/>
  <c r="G74" i="1"/>
  <c r="G69" i="1"/>
  <c r="G68" i="1"/>
  <c r="G67" i="1"/>
  <c r="G66" i="1"/>
  <c r="G65" i="1"/>
  <c r="G64" i="1"/>
  <c r="G63" i="1"/>
  <c r="G62" i="1"/>
  <c r="G61" i="1"/>
  <c r="G60" i="1"/>
  <c r="G59" i="1"/>
  <c r="G58" i="1"/>
  <c r="G106" i="1"/>
  <c r="G105" i="1"/>
  <c r="G104" i="1"/>
  <c r="G103" i="1"/>
  <c r="G102" i="1"/>
  <c r="G101" i="1"/>
  <c r="G100" i="1"/>
  <c r="G49" i="1"/>
  <c r="G48" i="1"/>
  <c r="G47" i="1"/>
  <c r="G46" i="1"/>
  <c r="G45" i="1"/>
  <c r="G44" i="1"/>
  <c r="G56" i="1"/>
  <c r="G54" i="1"/>
  <c r="G53" i="1"/>
  <c r="G52" i="1"/>
  <c r="G51" i="1"/>
  <c r="G43" i="1"/>
  <c r="G41" i="1"/>
  <c r="G40" i="1"/>
  <c r="G39" i="1"/>
  <c r="G38" i="1"/>
  <c r="G37" i="1"/>
  <c r="G36" i="1"/>
  <c r="G35" i="1"/>
  <c r="G34" i="1"/>
  <c r="G33" i="1"/>
  <c r="G32" i="1"/>
  <c r="G31" i="1"/>
  <c r="G27" i="1"/>
  <c r="G24" i="1"/>
  <c r="G23" i="1"/>
  <c r="G20" i="1"/>
  <c r="G19" i="1"/>
  <c r="G18" i="1"/>
  <c r="G17" i="1"/>
  <c r="G15" i="1"/>
  <c r="G153" i="1" l="1"/>
  <c r="D157" i="1" s="1"/>
  <c r="H124" i="1" l="1"/>
  <c r="I124" i="1" s="1"/>
  <c r="H62" i="1"/>
  <c r="I62" i="1" s="1"/>
  <c r="H32" i="1"/>
  <c r="I32" i="1" s="1"/>
  <c r="H21" i="1"/>
  <c r="H33" i="1"/>
  <c r="I33" i="1" s="1"/>
  <c r="O21" i="2" s="1"/>
  <c r="H45" i="1"/>
  <c r="I45" i="1" s="1"/>
  <c r="O33" i="2" s="1"/>
  <c r="H57" i="1"/>
  <c r="H69" i="1"/>
  <c r="I69" i="1" s="1"/>
  <c r="O56" i="2" s="1"/>
  <c r="H81" i="1"/>
  <c r="I81" i="1" s="1"/>
  <c r="O67" i="2" s="1"/>
  <c r="H93" i="1"/>
  <c r="I93" i="1" s="1"/>
  <c r="O79" i="2" s="1"/>
  <c r="H105" i="1"/>
  <c r="I105" i="1" s="1"/>
  <c r="H117" i="1"/>
  <c r="I117" i="1" s="1"/>
  <c r="H130" i="1"/>
  <c r="I130" i="1" s="1"/>
  <c r="H141" i="1"/>
  <c r="I141" i="1" s="1"/>
  <c r="H152" i="1"/>
  <c r="I152" i="1" s="1"/>
  <c r="O91" i="2" s="1"/>
  <c r="Q91" i="2" s="1"/>
  <c r="R91" i="2" s="1"/>
  <c r="H22" i="1"/>
  <c r="H34" i="1"/>
  <c r="I34" i="1" s="1"/>
  <c r="O22" i="2" s="1"/>
  <c r="H46" i="1"/>
  <c r="I46" i="1" s="1"/>
  <c r="O34" i="2" s="1"/>
  <c r="H58" i="1"/>
  <c r="I58" i="1" s="1"/>
  <c r="O45" i="2" s="1"/>
  <c r="H70" i="1"/>
  <c r="I70" i="1" s="1"/>
  <c r="O57" i="2" s="1"/>
  <c r="H82" i="1"/>
  <c r="I82" i="1" s="1"/>
  <c r="O68" i="2" s="1"/>
  <c r="H94" i="1"/>
  <c r="I94" i="1" s="1"/>
  <c r="O80" i="2" s="1"/>
  <c r="H106" i="1"/>
  <c r="I106" i="1" s="1"/>
  <c r="H118" i="1"/>
  <c r="I118" i="1" s="1"/>
  <c r="H131" i="1"/>
  <c r="I131" i="1" s="1"/>
  <c r="H15" i="1"/>
  <c r="I15" i="1" s="1"/>
  <c r="H52" i="1"/>
  <c r="I52" i="1" s="1"/>
  <c r="O40" i="2" s="1"/>
  <c r="H100" i="1"/>
  <c r="I100" i="1" s="1"/>
  <c r="H137" i="1"/>
  <c r="I137" i="1" s="1"/>
  <c r="G161" i="1" s="1"/>
  <c r="H53" i="1"/>
  <c r="I53" i="1" s="1"/>
  <c r="H89" i="1"/>
  <c r="I89" i="1" s="1"/>
  <c r="O75" i="2" s="1"/>
  <c r="H138" i="1"/>
  <c r="I138" i="1" s="1"/>
  <c r="O88" i="2" s="1"/>
  <c r="Q88" i="2" s="1"/>
  <c r="R88" i="2" s="1"/>
  <c r="T88" i="2" s="1"/>
  <c r="U88" i="2" s="1"/>
  <c r="H30" i="1"/>
  <c r="I30" i="1" s="1"/>
  <c r="O18" i="2" s="1"/>
  <c r="H78" i="1"/>
  <c r="I78" i="1" s="1"/>
  <c r="O64" i="2" s="1"/>
  <c r="H127" i="1"/>
  <c r="I127" i="1" s="1"/>
  <c r="H19" i="1"/>
  <c r="I19" i="1" s="1"/>
  <c r="H67" i="1"/>
  <c r="I67" i="1" s="1"/>
  <c r="O54" i="2" s="1"/>
  <c r="H128" i="1"/>
  <c r="I128" i="1" s="1"/>
  <c r="H80" i="1"/>
  <c r="I80" i="1" s="1"/>
  <c r="O66" i="2" s="1"/>
  <c r="H116" i="1"/>
  <c r="I116" i="1" s="1"/>
  <c r="H23" i="1"/>
  <c r="I23" i="1" s="1"/>
  <c r="O11" i="2" s="1"/>
  <c r="H35" i="1"/>
  <c r="I35" i="1" s="1"/>
  <c r="O23" i="2" s="1"/>
  <c r="H47" i="1"/>
  <c r="I47" i="1" s="1"/>
  <c r="O35" i="2" s="1"/>
  <c r="H59" i="1"/>
  <c r="I59" i="1" s="1"/>
  <c r="O46" i="2" s="1"/>
  <c r="H71" i="1"/>
  <c r="I71" i="1" s="1"/>
  <c r="H83" i="1"/>
  <c r="I83" i="1" s="1"/>
  <c r="O69" i="2" s="1"/>
  <c r="H95" i="1"/>
  <c r="I95" i="1" s="1"/>
  <c r="O81" i="2" s="1"/>
  <c r="H107" i="1"/>
  <c r="I107" i="1" s="1"/>
  <c r="H119" i="1"/>
  <c r="I119" i="1" s="1"/>
  <c r="H132" i="1"/>
  <c r="I132" i="1" s="1"/>
  <c r="H142" i="1"/>
  <c r="I142" i="1" s="1"/>
  <c r="O89" i="2" s="1"/>
  <c r="Q89" i="2" s="1"/>
  <c r="R89" i="2" s="1"/>
  <c r="T89" i="2" s="1"/>
  <c r="U89" i="2" s="1"/>
  <c r="H38" i="1"/>
  <c r="I38" i="1" s="1"/>
  <c r="O26" i="2" s="1"/>
  <c r="H98" i="1"/>
  <c r="I98" i="1" s="1"/>
  <c r="O84" i="2" s="1"/>
  <c r="H110" i="1"/>
  <c r="I110" i="1" s="1"/>
  <c r="H145" i="1"/>
  <c r="I145" i="1" s="1"/>
  <c r="H27" i="1"/>
  <c r="I27" i="1" s="1"/>
  <c r="O15" i="2" s="1"/>
  <c r="H63" i="1"/>
  <c r="I63" i="1" s="1"/>
  <c r="O50" i="2" s="1"/>
  <c r="H111" i="1"/>
  <c r="I111" i="1" s="1"/>
  <c r="H136" i="1"/>
  <c r="I136" i="1" s="1"/>
  <c r="H28" i="1"/>
  <c r="I28" i="1" s="1"/>
  <c r="O16" i="2" s="1"/>
  <c r="H64" i="1"/>
  <c r="I64" i="1" s="1"/>
  <c r="O51" i="2" s="1"/>
  <c r="H112" i="1"/>
  <c r="I112" i="1" s="1"/>
  <c r="H147" i="1"/>
  <c r="I147" i="1" s="1"/>
  <c r="H41" i="1"/>
  <c r="I41" i="1" s="1"/>
  <c r="O29" i="2" s="1"/>
  <c r="H65" i="1"/>
  <c r="I65" i="1" s="1"/>
  <c r="O52" i="2" s="1"/>
  <c r="H113" i="1"/>
  <c r="I113" i="1" s="1"/>
  <c r="H148" i="1"/>
  <c r="I148" i="1" s="1"/>
  <c r="H42" i="1"/>
  <c r="I42" i="1" s="1"/>
  <c r="O31" i="2" s="1"/>
  <c r="H66" i="1"/>
  <c r="I66" i="1" s="1"/>
  <c r="O53" i="2" s="1"/>
  <c r="H114" i="1"/>
  <c r="I114" i="1" s="1"/>
  <c r="H149" i="1"/>
  <c r="I149" i="1" s="1"/>
  <c r="O90" i="2" s="1"/>
  <c r="Q90" i="2" s="1"/>
  <c r="R90" i="2" s="1"/>
  <c r="H43" i="1"/>
  <c r="I43" i="1" s="1"/>
  <c r="O30" i="2" s="1"/>
  <c r="H79" i="1"/>
  <c r="I79" i="1" s="1"/>
  <c r="O65" i="2" s="1"/>
  <c r="H115" i="1"/>
  <c r="I115" i="1" s="1"/>
  <c r="H20" i="1"/>
  <c r="I20" i="1" s="1"/>
  <c r="H56" i="1"/>
  <c r="I56" i="1" s="1"/>
  <c r="H104" i="1"/>
  <c r="I104" i="1" s="1"/>
  <c r="H129" i="1"/>
  <c r="I129" i="1" s="1"/>
  <c r="H24" i="1"/>
  <c r="I24" i="1" s="1"/>
  <c r="O12" i="2" s="1"/>
  <c r="H36" i="1"/>
  <c r="I36" i="1" s="1"/>
  <c r="O24" i="2" s="1"/>
  <c r="H48" i="1"/>
  <c r="I48" i="1" s="1"/>
  <c r="O36" i="2" s="1"/>
  <c r="H60" i="1"/>
  <c r="I60" i="1" s="1"/>
  <c r="O47" i="2" s="1"/>
  <c r="H72" i="1"/>
  <c r="I72" i="1" s="1"/>
  <c r="H84" i="1"/>
  <c r="I84" i="1" s="1"/>
  <c r="O70" i="2" s="1"/>
  <c r="H96" i="1"/>
  <c r="I96" i="1" s="1"/>
  <c r="O82" i="2" s="1"/>
  <c r="H108" i="1"/>
  <c r="I108" i="1" s="1"/>
  <c r="H120" i="1"/>
  <c r="I120" i="1" s="1"/>
  <c r="H133" i="1"/>
  <c r="I133" i="1" s="1"/>
  <c r="H143" i="1"/>
  <c r="I143" i="1" s="1"/>
  <c r="H50" i="1"/>
  <c r="I50" i="1" s="1"/>
  <c r="O38" i="2" s="1"/>
  <c r="H74" i="1"/>
  <c r="I74" i="1" s="1"/>
  <c r="O60" i="2" s="1"/>
  <c r="H122" i="1"/>
  <c r="I122" i="1" s="1"/>
  <c r="H39" i="1"/>
  <c r="I39" i="1" s="1"/>
  <c r="O27" i="2" s="1"/>
  <c r="H87" i="1"/>
  <c r="I87" i="1" s="1"/>
  <c r="O73" i="2" s="1"/>
  <c r="H123" i="1"/>
  <c r="I123" i="1" s="1"/>
  <c r="H16" i="1"/>
  <c r="I16" i="1" s="1"/>
  <c r="H76" i="1"/>
  <c r="H17" i="1"/>
  <c r="I17" i="1" s="1"/>
  <c r="H101" i="1"/>
  <c r="I101" i="1" s="1"/>
  <c r="H18" i="1"/>
  <c r="I18" i="1" s="1"/>
  <c r="H102" i="1"/>
  <c r="I102" i="1" s="1"/>
  <c r="H31" i="1"/>
  <c r="I31" i="1" s="1"/>
  <c r="O19" i="2" s="1"/>
  <c r="H91" i="1"/>
  <c r="I91" i="1" s="1"/>
  <c r="O77" i="2" s="1"/>
  <c r="H139" i="1"/>
  <c r="I139" i="1" s="1"/>
  <c r="H68" i="1"/>
  <c r="I68" i="1" s="1"/>
  <c r="O55" i="2" s="1"/>
  <c r="H140" i="1"/>
  <c r="I140" i="1" s="1"/>
  <c r="H25" i="1"/>
  <c r="I25" i="1" s="1"/>
  <c r="O13" i="2" s="1"/>
  <c r="H37" i="1"/>
  <c r="I37" i="1" s="1"/>
  <c r="O25" i="2" s="1"/>
  <c r="H49" i="1"/>
  <c r="I49" i="1" s="1"/>
  <c r="O37" i="2" s="1"/>
  <c r="H61" i="1"/>
  <c r="I61" i="1" s="1"/>
  <c r="O48" i="2" s="1"/>
  <c r="H73" i="1"/>
  <c r="I73" i="1" s="1"/>
  <c r="O59" i="2" s="1"/>
  <c r="H85" i="1"/>
  <c r="I85" i="1" s="1"/>
  <c r="O71" i="2" s="1"/>
  <c r="H97" i="1"/>
  <c r="I97" i="1" s="1"/>
  <c r="O83" i="2" s="1"/>
  <c r="H109" i="1"/>
  <c r="I109" i="1" s="1"/>
  <c r="H121" i="1"/>
  <c r="I121" i="1" s="1"/>
  <c r="H134" i="1"/>
  <c r="I134" i="1" s="1"/>
  <c r="O86" i="2" s="1"/>
  <c r="Q86" i="2" s="1"/>
  <c r="R86" i="2" s="1"/>
  <c r="H144" i="1"/>
  <c r="I144" i="1" s="1"/>
  <c r="H26" i="1"/>
  <c r="I26" i="1" s="1"/>
  <c r="O14" i="2" s="1"/>
  <c r="H86" i="1"/>
  <c r="I86" i="1" s="1"/>
  <c r="O72" i="2" s="1"/>
  <c r="H135" i="1"/>
  <c r="I135" i="1" s="1"/>
  <c r="O87" i="2" s="1"/>
  <c r="Q87" i="2" s="1"/>
  <c r="R87" i="2" s="1"/>
  <c r="H51" i="1"/>
  <c r="I51" i="1" s="1"/>
  <c r="O39" i="2" s="1"/>
  <c r="H75" i="1"/>
  <c r="I75" i="1" s="1"/>
  <c r="O61" i="2" s="1"/>
  <c r="H99" i="1"/>
  <c r="H146" i="1"/>
  <c r="I146" i="1" s="1"/>
  <c r="H40" i="1"/>
  <c r="I40" i="1" s="1"/>
  <c r="O28" i="2" s="1"/>
  <c r="H88" i="1"/>
  <c r="I88" i="1" s="1"/>
  <c r="O74" i="2" s="1"/>
  <c r="H125" i="1"/>
  <c r="I125" i="1" s="1"/>
  <c r="H29" i="1"/>
  <c r="I29" i="1" s="1"/>
  <c r="O17" i="2" s="1"/>
  <c r="H77" i="1"/>
  <c r="I77" i="1" s="1"/>
  <c r="O63" i="2" s="1"/>
  <c r="H126" i="1"/>
  <c r="I126" i="1" s="1"/>
  <c r="H54" i="1"/>
  <c r="I54" i="1" s="1"/>
  <c r="H90" i="1"/>
  <c r="I90" i="1" s="1"/>
  <c r="O76" i="2" s="1"/>
  <c r="H55" i="1"/>
  <c r="I55" i="1" s="1"/>
  <c r="H103" i="1"/>
  <c r="I103" i="1" s="1"/>
  <c r="H150" i="1"/>
  <c r="I150" i="1" s="1"/>
  <c r="H92" i="1"/>
  <c r="I92" i="1" s="1"/>
  <c r="O78" i="2" s="1"/>
  <c r="H151" i="1"/>
  <c r="I151" i="1" s="1"/>
  <c r="H44" i="1"/>
  <c r="I44" i="1" s="1"/>
  <c r="O32" i="2" s="1"/>
  <c r="H155" i="1"/>
  <c r="E92" i="2"/>
  <c r="G162" i="1" l="1"/>
  <c r="O20" i="2"/>
  <c r="K32" i="1"/>
  <c r="O58" i="2"/>
  <c r="O41" i="2"/>
  <c r="I22" i="1"/>
  <c r="O10" i="2" s="1"/>
  <c r="T91" i="2"/>
  <c r="U91" i="2" s="1"/>
  <c r="T86" i="2"/>
  <c r="U86" i="2" s="1"/>
  <c r="T87" i="2"/>
  <c r="U87" i="2" s="1"/>
  <c r="T90" i="2"/>
  <c r="U90" i="2" s="1"/>
  <c r="O42" i="2"/>
  <c r="O43" i="2"/>
  <c r="H153" i="1"/>
  <c r="I153" i="1" l="1"/>
  <c r="M28" i="1"/>
  <c r="N28" i="1" s="1"/>
  <c r="K28" i="1" s="1"/>
  <c r="M29" i="1"/>
  <c r="N29" i="1" s="1"/>
  <c r="K29" i="1" s="1"/>
  <c r="D164" i="1"/>
  <c r="D169" i="1" s="1"/>
  <c r="K33" i="1" l="1"/>
  <c r="O49" i="2"/>
  <c r="D165" i="1" l="1"/>
  <c r="D166" i="1"/>
  <c r="D168" i="1"/>
  <c r="D167" i="1"/>
  <c r="D170" i="1" l="1"/>
  <c r="P8" i="2"/>
  <c r="P29" i="2" s="1"/>
  <c r="Q29" i="2" s="1"/>
  <c r="R29" i="2" s="1"/>
  <c r="T29" i="2" s="1"/>
  <c r="P53" i="2" l="1"/>
  <c r="Q53" i="2" s="1"/>
  <c r="R53" i="2" s="1"/>
  <c r="T53" i="2" s="1"/>
  <c r="P65" i="2"/>
  <c r="Q65" i="2" s="1"/>
  <c r="R65" i="2" s="1"/>
  <c r="T65" i="2" s="1"/>
  <c r="U65" i="2" s="1"/>
  <c r="P33" i="2"/>
  <c r="Q33" i="2" s="1"/>
  <c r="R33" i="2" s="1"/>
  <c r="T33" i="2" s="1"/>
  <c r="P61" i="2"/>
  <c r="Q61" i="2" s="1"/>
  <c r="R61" i="2" s="1"/>
  <c r="T61" i="2" s="1"/>
  <c r="U61" i="2" s="1"/>
  <c r="P37" i="2"/>
  <c r="Q37" i="2" s="1"/>
  <c r="R37" i="2" s="1"/>
  <c r="T37" i="2" s="1"/>
  <c r="P18" i="2"/>
  <c r="Q18" i="2" s="1"/>
  <c r="R18" i="2" s="1"/>
  <c r="T18" i="2" s="1"/>
  <c r="P81" i="2"/>
  <c r="Q81" i="2" s="1"/>
  <c r="R81" i="2" s="1"/>
  <c r="T81" i="2" s="1"/>
  <c r="P14" i="2"/>
  <c r="Q14" i="2" s="1"/>
  <c r="R14" i="2" s="1"/>
  <c r="T14" i="2" s="1"/>
  <c r="P46" i="2"/>
  <c r="Q46" i="2" s="1"/>
  <c r="R46" i="2" s="1"/>
  <c r="T46" i="2" s="1"/>
  <c r="P71" i="2"/>
  <c r="Q71" i="2" s="1"/>
  <c r="R71" i="2" s="1"/>
  <c r="T71" i="2" s="1"/>
  <c r="P19" i="2"/>
  <c r="Q19" i="2" s="1"/>
  <c r="R19" i="2" s="1"/>
  <c r="T19" i="2" s="1"/>
  <c r="P28" i="2"/>
  <c r="Q28" i="2" s="1"/>
  <c r="R28" i="2" s="1"/>
  <c r="T28" i="2" s="1"/>
  <c r="P64" i="2"/>
  <c r="Q64" i="2" s="1"/>
  <c r="R64" i="2" s="1"/>
  <c r="T64" i="2" s="1"/>
  <c r="U64" i="2" s="1"/>
  <c r="P84" i="2"/>
  <c r="Q84" i="2" s="1"/>
  <c r="R84" i="2" s="1"/>
  <c r="T84" i="2" s="1"/>
  <c r="U84" i="2" s="1"/>
  <c r="P27" i="2"/>
  <c r="Q27" i="2" s="1"/>
  <c r="R27" i="2" s="1"/>
  <c r="T27" i="2" s="1"/>
  <c r="P23" i="2"/>
  <c r="Q23" i="2" s="1"/>
  <c r="R23" i="2" s="1"/>
  <c r="T23" i="2" s="1"/>
  <c r="P57" i="2"/>
  <c r="Q57" i="2" s="1"/>
  <c r="R57" i="2" s="1"/>
  <c r="T57" i="2" s="1"/>
  <c r="P82" i="2"/>
  <c r="Q82" i="2" s="1"/>
  <c r="R82" i="2" s="1"/>
  <c r="T82" i="2" s="1"/>
  <c r="P58" i="2"/>
  <c r="Q58" i="2" s="1"/>
  <c r="R58" i="2" s="1"/>
  <c r="T58" i="2" s="1"/>
  <c r="P39" i="2"/>
  <c r="Q39" i="2" s="1"/>
  <c r="R39" i="2" s="1"/>
  <c r="T39" i="2" s="1"/>
  <c r="U39" i="2" s="1"/>
  <c r="P48" i="2"/>
  <c r="Q48" i="2" s="1"/>
  <c r="R48" i="2" s="1"/>
  <c r="T48" i="2" s="1"/>
  <c r="U48" i="2" s="1"/>
  <c r="P25" i="2"/>
  <c r="Q25" i="2" s="1"/>
  <c r="R25" i="2" s="1"/>
  <c r="T25" i="2" s="1"/>
  <c r="P40" i="2"/>
  <c r="Q40" i="2" s="1"/>
  <c r="R40" i="2" s="1"/>
  <c r="T40" i="2" s="1"/>
  <c r="U40" i="2" s="1"/>
  <c r="P10" i="2"/>
  <c r="Q10" i="2" s="1"/>
  <c r="R10" i="2" s="1"/>
  <c r="T10" i="2" s="1"/>
  <c r="U10" i="2" s="1"/>
  <c r="P77" i="2"/>
  <c r="Q77" i="2" s="1"/>
  <c r="R77" i="2" s="1"/>
  <c r="T77" i="2" s="1"/>
  <c r="P32" i="2"/>
  <c r="Q32" i="2" s="1"/>
  <c r="R32" i="2" s="1"/>
  <c r="T32" i="2" s="1"/>
  <c r="P54" i="2"/>
  <c r="Q54" i="2" s="1"/>
  <c r="R54" i="2" s="1"/>
  <c r="T54" i="2" s="1"/>
  <c r="P21" i="2"/>
  <c r="Q21" i="2" s="1"/>
  <c r="R21" i="2" s="1"/>
  <c r="T21" i="2" s="1"/>
  <c r="P26" i="2"/>
  <c r="Q26" i="2" s="1"/>
  <c r="R26" i="2" s="1"/>
  <c r="T26" i="2" s="1"/>
  <c r="P15" i="2"/>
  <c r="Q15" i="2" s="1"/>
  <c r="R15" i="2" s="1"/>
  <c r="T15" i="2" s="1"/>
  <c r="P59" i="2"/>
  <c r="Q59" i="2" s="1"/>
  <c r="R59" i="2" s="1"/>
  <c r="T59" i="2" s="1"/>
  <c r="P79" i="2"/>
  <c r="Q79" i="2" s="1"/>
  <c r="R79" i="2" s="1"/>
  <c r="T79" i="2" s="1"/>
  <c r="U79" i="2" s="1"/>
  <c r="P83" i="2"/>
  <c r="Q83" i="2" s="1"/>
  <c r="R83" i="2" s="1"/>
  <c r="T83" i="2" s="1"/>
  <c r="P12" i="2"/>
  <c r="Q12" i="2" s="1"/>
  <c r="R12" i="2" s="1"/>
  <c r="P55" i="2"/>
  <c r="Q55" i="2" s="1"/>
  <c r="R55" i="2" s="1"/>
  <c r="T55" i="2" s="1"/>
  <c r="P11" i="2"/>
  <c r="Q11" i="2" s="1"/>
  <c r="R11" i="2" s="1"/>
  <c r="T11" i="2" s="1"/>
  <c r="U11" i="2" s="1"/>
  <c r="P72" i="2"/>
  <c r="Q72" i="2" s="1"/>
  <c r="R72" i="2" s="1"/>
  <c r="T72" i="2" s="1"/>
  <c r="P31" i="2"/>
  <c r="Q31" i="2" s="1"/>
  <c r="R31" i="2" s="1"/>
  <c r="T31" i="2" s="1"/>
  <c r="U31" i="2" s="1"/>
  <c r="P42" i="2"/>
  <c r="Q42" i="2" s="1"/>
  <c r="R42" i="2" s="1"/>
  <c r="T42" i="2" s="1"/>
  <c r="U42" i="2" s="1"/>
  <c r="P78" i="2"/>
  <c r="Q78" i="2" s="1"/>
  <c r="R78" i="2" s="1"/>
  <c r="T78" i="2" s="1"/>
  <c r="P20" i="2"/>
  <c r="Q20" i="2" s="1"/>
  <c r="R20" i="2" s="1"/>
  <c r="T20" i="2" s="1"/>
  <c r="P35" i="2"/>
  <c r="Q35" i="2" s="1"/>
  <c r="R35" i="2" s="1"/>
  <c r="T35" i="2" s="1"/>
  <c r="P56" i="2"/>
  <c r="Q56" i="2" s="1"/>
  <c r="R56" i="2" s="1"/>
  <c r="T56" i="2" s="1"/>
  <c r="P60" i="2"/>
  <c r="Q60" i="2" s="1"/>
  <c r="R60" i="2" s="1"/>
  <c r="T60" i="2" s="1"/>
  <c r="U60" i="2" s="1"/>
  <c r="P47" i="2"/>
  <c r="Q47" i="2" s="1"/>
  <c r="R47" i="2" s="1"/>
  <c r="T47" i="2" s="1"/>
  <c r="U47" i="2" s="1"/>
  <c r="P41" i="2"/>
  <c r="Q41" i="2" s="1"/>
  <c r="R41" i="2" s="1"/>
  <c r="T41" i="2" s="1"/>
  <c r="U41" i="2" s="1"/>
  <c r="P74" i="2"/>
  <c r="Q74" i="2" s="1"/>
  <c r="R74" i="2" s="1"/>
  <c r="T74" i="2" s="1"/>
  <c r="U74" i="2" s="1"/>
  <c r="P49" i="2"/>
  <c r="Q49" i="2" s="1"/>
  <c r="R49" i="2" s="1"/>
  <c r="T49" i="2" s="1"/>
  <c r="U49" i="2" s="1"/>
  <c r="P30" i="2"/>
  <c r="Q30" i="2" s="1"/>
  <c r="R30" i="2" s="1"/>
  <c r="T30" i="2" s="1"/>
  <c r="U29" i="2" s="1"/>
  <c r="P34" i="2"/>
  <c r="Q34" i="2" s="1"/>
  <c r="R34" i="2" s="1"/>
  <c r="T34" i="2" s="1"/>
  <c r="P16" i="2"/>
  <c r="Q16" i="2" s="1"/>
  <c r="R16" i="2" s="1"/>
  <c r="T16" i="2" s="1"/>
  <c r="P75" i="2"/>
  <c r="Q75" i="2" s="1"/>
  <c r="R75" i="2" s="1"/>
  <c r="T75" i="2" s="1"/>
  <c r="U75" i="2" s="1"/>
  <c r="P45" i="2"/>
  <c r="Q45" i="2" s="1"/>
  <c r="R45" i="2" s="1"/>
  <c r="T45" i="2" s="1"/>
  <c r="P63" i="2"/>
  <c r="Q63" i="2" s="1"/>
  <c r="R63" i="2" s="1"/>
  <c r="T63" i="2" s="1"/>
  <c r="U63" i="2" s="1"/>
  <c r="P66" i="2"/>
  <c r="Q66" i="2" s="1"/>
  <c r="R66" i="2" s="1"/>
  <c r="T66" i="2" s="1"/>
  <c r="U66" i="2" s="1"/>
  <c r="P22" i="2"/>
  <c r="Q22" i="2" s="1"/>
  <c r="R22" i="2" s="1"/>
  <c r="T22" i="2" s="1"/>
  <c r="P36" i="2"/>
  <c r="Q36" i="2" s="1"/>
  <c r="R36" i="2" s="1"/>
  <c r="T36" i="2" s="1"/>
  <c r="P43" i="2"/>
  <c r="Q43" i="2" s="1"/>
  <c r="R43" i="2" s="1"/>
  <c r="T43" i="2" s="1"/>
  <c r="U43" i="2" s="1"/>
  <c r="P38" i="2"/>
  <c r="Q38" i="2" s="1"/>
  <c r="R38" i="2" s="1"/>
  <c r="T38" i="2" s="1"/>
  <c r="U38" i="2" s="1"/>
  <c r="P80" i="2"/>
  <c r="Q80" i="2" s="1"/>
  <c r="R80" i="2" s="1"/>
  <c r="T80" i="2" s="1"/>
  <c r="P50" i="2"/>
  <c r="Q50" i="2" s="1"/>
  <c r="R50" i="2" s="1"/>
  <c r="T50" i="2" s="1"/>
  <c r="P68" i="2"/>
  <c r="Q68" i="2" s="1"/>
  <c r="R68" i="2" s="1"/>
  <c r="T68" i="2" s="1"/>
  <c r="U68" i="2" s="1"/>
  <c r="P17" i="2"/>
  <c r="Q17" i="2" s="1"/>
  <c r="R17" i="2" s="1"/>
  <c r="T17" i="2" s="1"/>
  <c r="P73" i="2"/>
  <c r="Q73" i="2" s="1"/>
  <c r="R73" i="2" s="1"/>
  <c r="T73" i="2" s="1"/>
  <c r="P67" i="2"/>
  <c r="Q67" i="2" s="1"/>
  <c r="R67" i="2" s="1"/>
  <c r="T67" i="2" s="1"/>
  <c r="U67" i="2" s="1"/>
  <c r="P69" i="2"/>
  <c r="Q69" i="2" s="1"/>
  <c r="R69" i="2" s="1"/>
  <c r="T69" i="2" s="1"/>
  <c r="U69" i="2" s="1"/>
  <c r="P76" i="2"/>
  <c r="Q76" i="2" s="1"/>
  <c r="R76" i="2" s="1"/>
  <c r="T76" i="2" s="1"/>
  <c r="U76" i="2" s="1"/>
  <c r="P52" i="2"/>
  <c r="Q52" i="2" s="1"/>
  <c r="R52" i="2" s="1"/>
  <c r="T52" i="2" s="1"/>
  <c r="P24" i="2"/>
  <c r="Q24" i="2" s="1"/>
  <c r="R24" i="2" s="1"/>
  <c r="T24" i="2" s="1"/>
  <c r="P70" i="2"/>
  <c r="Q70" i="2" s="1"/>
  <c r="R70" i="2" s="1"/>
  <c r="T70" i="2" s="1"/>
  <c r="U70" i="2" s="1"/>
  <c r="P51" i="2"/>
  <c r="Q51" i="2" s="1"/>
  <c r="R51" i="2" s="1"/>
  <c r="T51" i="2" s="1"/>
  <c r="P13" i="2"/>
  <c r="Q13" i="2" s="1"/>
  <c r="R13" i="2" s="1"/>
  <c r="T13" i="2" s="1"/>
  <c r="J168" i="1"/>
  <c r="K168" i="1" s="1"/>
  <c r="U82" i="2" l="1"/>
  <c r="U36" i="2"/>
  <c r="U25" i="2"/>
  <c r="U21" i="2"/>
  <c r="U27" i="2"/>
  <c r="U57" i="2"/>
  <c r="U54" i="2"/>
  <c r="U80" i="2"/>
  <c r="U13" i="2"/>
  <c r="U71" i="2"/>
  <c r="U52" i="2"/>
  <c r="X13" i="2"/>
  <c r="U16" i="2"/>
  <c r="U32" i="2"/>
  <c r="U50" i="2"/>
  <c r="U77" i="2"/>
  <c r="T92" i="2"/>
  <c r="U23" i="2"/>
  <c r="U92" i="2" l="1"/>
</calcChain>
</file>

<file path=xl/sharedStrings.xml><?xml version="1.0" encoding="utf-8"?>
<sst xmlns="http://schemas.openxmlformats.org/spreadsheetml/2006/main" count="426" uniqueCount="346">
  <si>
    <t>STT</t>
  </si>
  <si>
    <t>Đơn vị sử dụng</t>
  </si>
  <si>
    <t>Số đầu kỳ</t>
  </si>
  <si>
    <t>Số cuối kỳ</t>
  </si>
  <si>
    <t>Số sử dụng</t>
  </si>
  <si>
    <t>Số tổn hao</t>
  </si>
  <si>
    <t>Nhà thi đấu</t>
  </si>
  <si>
    <t>Tổng cộng</t>
  </si>
  <si>
    <t>-</t>
  </si>
  <si>
    <r>
      <t>Số tổn hao (</t>
    </r>
    <r>
      <rPr>
        <b/>
        <sz val="14"/>
        <color theme="1"/>
        <rFont val="Times New Roman"/>
        <family val="1"/>
      </rPr>
      <t>C</t>
    </r>
    <r>
      <rPr>
        <sz val="14"/>
        <color theme="1"/>
        <rFont val="Times New Roman"/>
        <family val="1"/>
      </rPr>
      <t>) được tính bằng số chênh lệch giữa đồng hồ tổng của điện lực (</t>
    </r>
    <r>
      <rPr>
        <b/>
        <sz val="14"/>
        <color theme="1"/>
        <rFont val="Times New Roman"/>
        <family val="1"/>
      </rPr>
      <t>A)</t>
    </r>
    <r>
      <rPr>
        <sz val="14"/>
        <color theme="1"/>
        <rFont val="Times New Roman"/>
        <family val="1"/>
      </rPr>
      <t xml:space="preserve"> với tổng cộng các đồng hồ sử dụng trong đơn vị (</t>
    </r>
    <r>
      <rPr>
        <b/>
        <sz val="14"/>
        <color theme="1"/>
        <rFont val="Times New Roman"/>
        <family val="1"/>
      </rPr>
      <t>B</t>
    </r>
    <r>
      <rPr>
        <sz val="14"/>
        <color theme="1"/>
        <rFont val="Times New Roman"/>
        <family val="1"/>
      </rPr>
      <t xml:space="preserve">) </t>
    </r>
  </si>
  <si>
    <t>(1)</t>
  </si>
  <si>
    <t>(2)</t>
  </si>
  <si>
    <t>Ghi chú</t>
  </si>
  <si>
    <t>Hội trường</t>
  </si>
  <si>
    <t>Bể bơi</t>
  </si>
  <si>
    <r>
      <rPr>
        <b/>
        <sz val="14"/>
        <color theme="1"/>
        <rFont val="Times New Roman"/>
        <family val="1"/>
      </rPr>
      <t>C</t>
    </r>
    <r>
      <rPr>
        <sz val="14"/>
        <color theme="1"/>
        <rFont val="Times New Roman"/>
        <family val="1"/>
      </rPr>
      <t>= A - B =</t>
    </r>
  </si>
  <si>
    <t>Cấp úy</t>
  </si>
  <si>
    <t>HSQ-CS</t>
  </si>
  <si>
    <t>Đơn vị</t>
  </si>
  <si>
    <t>Tổng (kW)</t>
  </si>
  <si>
    <t>Tiêu chuẩn điện bơm nước (kW)</t>
  </si>
  <si>
    <t>Tiêu chuẩn sinh hoạt làm việc</t>
  </si>
  <si>
    <t>Phần trừ tiêu chuẩn</t>
  </si>
  <si>
    <t>Sử dụng</t>
  </si>
  <si>
    <t>Số sử dụng thực tế bao gồm cả tổn hao</t>
  </si>
  <si>
    <t>Tiêu chuẩn còn lại</t>
  </si>
  <si>
    <t>Công cộng chung của Sư đoàn 10 %</t>
  </si>
  <si>
    <t>Số thâm điện</t>
  </si>
  <si>
    <t>1//
2//</t>
  </si>
  <si>
    <t>3//
4//</t>
  </si>
  <si>
    <t>TÍNH TOÁN TIÊU CHUẨN, SỬ DỤNG ĐIỆN NƯỚC</t>
  </si>
  <si>
    <t>A=</t>
  </si>
  <si>
    <t>Số sử dụng toàn đơn vị theo công tơ tổng điện lực</t>
  </si>
  <si>
    <t>Tổng cộng các đồng hồ sử dụng trong đơn vị</t>
  </si>
  <si>
    <t>B=</t>
  </si>
  <si>
    <t>III. BẢNG TÍNH SỬ DỤNG ĐIỆN</t>
  </si>
  <si>
    <t>Nhà ở</t>
  </si>
  <si>
    <t>Nhà làm việc</t>
  </si>
  <si>
    <t>3</t>
  </si>
  <si>
    <t>4</t>
  </si>
  <si>
    <t>5</t>
  </si>
  <si>
    <t>6</t>
  </si>
  <si>
    <t>8</t>
  </si>
  <si>
    <t>9</t>
  </si>
  <si>
    <t>7=4+6-3-5</t>
  </si>
  <si>
    <t>Chỉ huy f</t>
  </si>
  <si>
    <t>Chi tiết</t>
  </si>
  <si>
    <t>TMP Hiếu</t>
  </si>
  <si>
    <t>ĐH TB Q. Lực</t>
  </si>
  <si>
    <t>Thành; Thế; Huy</t>
  </si>
  <si>
    <t>Quỳnh; Chuyên; Tú</t>
  </si>
  <si>
    <t>Bản đồ</t>
  </si>
  <si>
    <t>TB TS + Ngọc</t>
  </si>
  <si>
    <t>TB + Mạnh</t>
  </si>
  <si>
    <t>TL Anh; Diến</t>
  </si>
  <si>
    <t>TB + Cường</t>
  </si>
  <si>
    <t>Nguyên PB; Công TH</t>
  </si>
  <si>
    <t>TL Khương; Nghĩa</t>
  </si>
  <si>
    <t>Bảo mật</t>
  </si>
  <si>
    <t>Viết Sử</t>
  </si>
  <si>
    <t xml:space="preserve">TLCT </t>
  </si>
  <si>
    <t>Tổ xe</t>
  </si>
  <si>
    <t>Bếp</t>
  </si>
  <si>
    <t>Nóng lạnh</t>
  </si>
  <si>
    <t>TB</t>
  </si>
  <si>
    <t>P2 Việt; Thắng</t>
  </si>
  <si>
    <t>P4 Vũ; Vũ</t>
  </si>
  <si>
    <t>TB Vũ</t>
  </si>
  <si>
    <t>TL Sơn; Hà; Anh</t>
  </si>
  <si>
    <t>Ánh sáng bếp</t>
  </si>
  <si>
    <t>Bếp nấu</t>
  </si>
  <si>
    <t>Kho</t>
  </si>
  <si>
    <t xml:space="preserve">Điều hòa </t>
  </si>
  <si>
    <t>Nóng lạnh bếp</t>
  </si>
  <si>
    <t>Nuôi quân</t>
  </si>
  <si>
    <t>Quân y f bộ</t>
  </si>
  <si>
    <t>Sư đoàn trưởng</t>
  </si>
  <si>
    <t>Chính uỷ</t>
  </si>
  <si>
    <t>Phó Sư đoàn trưởng</t>
  </si>
  <si>
    <t>Phó Sư đoàn trưởng-TMT</t>
  </si>
  <si>
    <t>Phó Chỉnh uỷ</t>
  </si>
  <si>
    <t>Ban Quân lực</t>
  </si>
  <si>
    <t>CH. PTM</t>
  </si>
  <si>
    <t>Ban Q.lực</t>
  </si>
  <si>
    <t>Ban Tác huấn</t>
  </si>
  <si>
    <t>B. T.sát</t>
  </si>
  <si>
    <t>B. C.Binh</t>
  </si>
  <si>
    <t>B. P.Binh</t>
  </si>
  <si>
    <t>B. P.Không</t>
  </si>
  <si>
    <t>B. T.Tin</t>
  </si>
  <si>
    <t>Ban T. chính</t>
  </si>
  <si>
    <t>B. C. Yếu</t>
  </si>
  <si>
    <t>Bếp f bộ</t>
  </si>
  <si>
    <t xml:space="preserve">Chủ nhiệm </t>
  </si>
  <si>
    <t>Phó CN Long</t>
  </si>
  <si>
    <t>Phó CN Kha</t>
  </si>
  <si>
    <t>PCN UBKT</t>
  </si>
  <si>
    <t>Huỳnh; Dũng</t>
  </si>
  <si>
    <t>TL Hiếu + Đức</t>
  </si>
  <si>
    <t>TB + Tân</t>
  </si>
  <si>
    <t>Cậy</t>
  </si>
  <si>
    <t>Khương; Ba</t>
  </si>
  <si>
    <t xml:space="preserve">TB </t>
  </si>
  <si>
    <t>TL Huyên; T Anh</t>
  </si>
  <si>
    <t>Chỉ huy PCT</t>
  </si>
  <si>
    <t>B.C.Bộ</t>
  </si>
  <si>
    <t>B. B. vệ</t>
  </si>
  <si>
    <t>B. T.chức</t>
  </si>
  <si>
    <t>Thanh niên + chính sách</t>
  </si>
  <si>
    <t>B.T.huấn</t>
  </si>
  <si>
    <t>PCN Mạnh</t>
  </si>
  <si>
    <t>PCN Quang</t>
  </si>
  <si>
    <t>CN Dũng</t>
  </si>
  <si>
    <t>TB Đức</t>
  </si>
  <si>
    <t>TL</t>
  </si>
  <si>
    <t>TB Ngọc</t>
  </si>
  <si>
    <t>TL Huy; Triệu</t>
  </si>
  <si>
    <t>C.Huy PHCKT</t>
  </si>
  <si>
    <t>Ban kế hoạch</t>
  </si>
  <si>
    <t>B.D.trại</t>
  </si>
  <si>
    <t>B.Q.Nhu</t>
  </si>
  <si>
    <t>B.X.dầu</t>
  </si>
  <si>
    <t>Ban quân y</t>
  </si>
  <si>
    <t>B.X.máy</t>
  </si>
  <si>
    <t>B.Q.Khí</t>
  </si>
  <si>
    <t>Tiểu đoàn 18</t>
  </si>
  <si>
    <t>Đại đội 20,23</t>
  </si>
  <si>
    <t>Đại đội 16/e101</t>
  </si>
  <si>
    <t>Trường bắn</t>
  </si>
  <si>
    <t>Đèn đường Cơ quan</t>
  </si>
  <si>
    <t>Phòng khách TTCH</t>
  </si>
  <si>
    <t>Nhà xe thường xuyên</t>
  </si>
  <si>
    <t>Đài phun nước</t>
  </si>
  <si>
    <t>Phòng giao ban f</t>
  </si>
  <si>
    <t>Trạm VTĐ</t>
  </si>
  <si>
    <t>Trực ban tác chiến</t>
  </si>
  <si>
    <t>Trực ban cơ yếu</t>
  </si>
  <si>
    <t>Trực ban thông tin</t>
  </si>
  <si>
    <t>Trực ban phòng không</t>
  </si>
  <si>
    <t>Phòng giao ban PTM</t>
  </si>
  <si>
    <t>Phòng giao ban PHC-KT</t>
  </si>
  <si>
    <t>Phòng giao ban PCT</t>
  </si>
  <si>
    <t>Sân tenis</t>
  </si>
  <si>
    <t>Vườn bưởi</t>
  </si>
  <si>
    <t>Trực thông tin tầng 4</t>
  </si>
  <si>
    <t>Trạm nước bên sông</t>
  </si>
  <si>
    <t>Trạm nước cấp 2</t>
  </si>
  <si>
    <t>Cổng gác, phòng trực ban</t>
  </si>
  <si>
    <t>Đèn đường trục chính</t>
  </si>
  <si>
    <t>C20-23</t>
  </si>
  <si>
    <t>P. Cắt tóc</t>
  </si>
  <si>
    <t>Điện khác</t>
  </si>
  <si>
    <t>Cây ATM</t>
  </si>
  <si>
    <t>Phòng khám</t>
  </si>
  <si>
    <t>Cây xăng 3 pha</t>
  </si>
  <si>
    <t>Xưởng in Ban tác huấn</t>
  </si>
  <si>
    <t>Căng tin</t>
  </si>
  <si>
    <t>I. BẢNG TÍNH TỔN HAO VÀ SỬ DỤNG THỰC TẾ</t>
  </si>
  <si>
    <t>Máy sục ao (Hưng Hchính)</t>
  </si>
  <si>
    <t>1. Bảng tính các vị trí có công tơ tại trạm, không có tổn hao</t>
  </si>
  <si>
    <t>Chỉ huy f +N.khách</t>
  </si>
  <si>
    <t>Tổng</t>
  </si>
  <si>
    <t>Số sử dụng sau khi trừ các vị trí không có tổn hao</t>
  </si>
  <si>
    <t>Nhà ở trạm nước</t>
  </si>
  <si>
    <t>Trạm nước cấp 1 (Sau khi trừ nhà ở trạm nước)</t>
  </si>
  <si>
    <t>Trạm sửa chữa cổng</t>
  </si>
  <si>
    <t>Nhà xe dân sự</t>
  </si>
  <si>
    <t>P. Ban chỉ đạo 35/PCT</t>
  </si>
  <si>
    <t>Chuồng lợn bếp fbo</t>
  </si>
  <si>
    <t>Trạm rửa xe nhà xe</t>
  </si>
  <si>
    <t>Số tổn hao tổng sẽ chia đều theo số Kw sử dụng của mỗi đồng hồ sử dụng trong đơn vị.</t>
  </si>
  <si>
    <t>Cơ quan Sư đoàn bộ</t>
  </si>
  <si>
    <t>Quân số</t>
  </si>
  <si>
    <t>Số sử dụng bơm nước</t>
  </si>
  <si>
    <t xml:space="preserve">Chỉ huy f + nhà khách </t>
  </si>
  <si>
    <t>Tính 30% còn lại chia đều cho các đối tượng sử dụng nước còn lại</t>
  </si>
  <si>
    <t>Chia đều theo số lượng người tại mỗi cơ quan đơn vị</t>
  </si>
  <si>
    <t>Điện bơm nước</t>
  </si>
  <si>
    <t>Ban Tác Huấn</t>
  </si>
  <si>
    <t>Ban Trinh sát</t>
  </si>
  <si>
    <t>Ban Công binh</t>
  </si>
  <si>
    <t>Ban Pháo binh</t>
  </si>
  <si>
    <t>Ban Phòng không</t>
  </si>
  <si>
    <t>Ban thông tin</t>
  </si>
  <si>
    <t>Trợ lý chính trị</t>
  </si>
  <si>
    <t>Ban tài chính</t>
  </si>
  <si>
    <t>Ban cơ yếu</t>
  </si>
  <si>
    <t>Ban dân vận</t>
  </si>
  <si>
    <t>Ban cán bộ</t>
  </si>
  <si>
    <t>Ban Bảo vệ</t>
  </si>
  <si>
    <t>Ban tổ chức</t>
  </si>
  <si>
    <t>Ban tuyên huấn</t>
  </si>
  <si>
    <t>Thanh niên + Chính sách</t>
  </si>
  <si>
    <t>Ban Kế hoạch</t>
  </si>
  <si>
    <t>Ban Doanh trại</t>
  </si>
  <si>
    <t>Ban Quân nhu</t>
  </si>
  <si>
    <t>Ban Xăng dầu</t>
  </si>
  <si>
    <t>Ban Quân y</t>
  </si>
  <si>
    <t>Ban xe máy</t>
  </si>
  <si>
    <t>Ban Quân khí</t>
  </si>
  <si>
    <t>II. BẢNG TÍNH ĐIỆN CÔNG CỘNG SƯ ĐOÀN BỘ</t>
  </si>
  <si>
    <t>Khối lượng sử dụng điện phòng cắt tóc Sư đoàn bộ</t>
  </si>
  <si>
    <t>Tổng Quân số</t>
  </si>
  <si>
    <t>Tiết kiệm của Bộ 5%</t>
  </si>
  <si>
    <t>(4)=(1+2)*10%</t>
  </si>
  <si>
    <t>(3)=(1+2)*5%</t>
  </si>
  <si>
    <t>Trạm lọc nước SH: sau khi đã trả đủ tiêu chuẩn, chia đều cho các đối tượng sử dụng nước tại trạm lọc tương ứng.</t>
  </si>
  <si>
    <t>Đơn giá (đồng)</t>
  </si>
  <si>
    <t>Thành tiền (đồng)</t>
  </si>
  <si>
    <t>Ký nhận</t>
  </si>
  <si>
    <t>NGƯỜI LẬP</t>
  </si>
  <si>
    <t>TRƯỞNG BAN DOANH TRẠI</t>
  </si>
  <si>
    <t>Thiếu tá Lê Quang Thảo</t>
  </si>
  <si>
    <t>CHỦ NHIỆM HẬU CẦN - KỸ THUẬT</t>
  </si>
  <si>
    <t>Thượng tá Đỗ Đức Dũng</t>
  </si>
  <si>
    <t>I</t>
  </si>
  <si>
    <t xml:space="preserve"> Phòng Tham mưu</t>
  </si>
  <si>
    <t>II</t>
  </si>
  <si>
    <t>IV</t>
  </si>
  <si>
    <t>III</t>
  </si>
  <si>
    <t>Phòng HC-KT</t>
  </si>
  <si>
    <t>Phòng chính trị</t>
  </si>
  <si>
    <t>Khác</t>
  </si>
  <si>
    <t>Tùng; Chuyên</t>
  </si>
  <si>
    <t>Nhà ở c20</t>
  </si>
  <si>
    <t>Nhà bếp (kho)</t>
  </si>
  <si>
    <t>Nhà ở c23 (đại đội)</t>
  </si>
  <si>
    <t>Nhà ở c23 (trung đội)</t>
  </si>
  <si>
    <t>Nhà nấu rượu</t>
  </si>
  <si>
    <t>Nhà nuôi vịt</t>
  </si>
  <si>
    <t>Chuồng lợn bếp f bộ</t>
  </si>
  <si>
    <t>Máy sục ao (Hưng H,chính)</t>
  </si>
  <si>
    <t>TB + Khôi</t>
  </si>
  <si>
    <t>Người phụ trách</t>
  </si>
  <si>
    <t>Nguyễn Trung Hiếu</t>
  </si>
  <si>
    <t>Ngô Thế Biên</t>
  </si>
  <si>
    <t>Nguyễn Đức Đến</t>
  </si>
  <si>
    <t>Nguyễn Khắc Côn</t>
  </si>
  <si>
    <t>Hồ Sỹ Hùng</t>
  </si>
  <si>
    <t>Phạm Văn Hải</t>
  </si>
  <si>
    <t>Nguyễn Đắc Long</t>
  </si>
  <si>
    <t>Đào Hồng Kha</t>
  </si>
  <si>
    <t>Nguyễn Văn Đông</t>
  </si>
  <si>
    <t>Bùi Văn Mạnh</t>
  </si>
  <si>
    <t>Lưu Văn Thắng</t>
  </si>
  <si>
    <t>Trần Văn Mạnh</t>
  </si>
  <si>
    <t>Doãn Văn Quang</t>
  </si>
  <si>
    <t>Đỗ Đức Dũng</t>
  </si>
  <si>
    <t>Nhâm Văn Thiết</t>
  </si>
  <si>
    <t>Lê Quang Thảo</t>
  </si>
  <si>
    <t>Hoàng Tuấn Ngọc</t>
  </si>
  <si>
    <t>Cao Văn Khóa</t>
  </si>
  <si>
    <t>Phùng Sỹ Toàn</t>
  </si>
  <si>
    <t>Nguyễn Trung Thành</t>
  </si>
  <si>
    <t>Lê Quang Trường</t>
  </si>
  <si>
    <t>Nguyễn Thành Hưng</t>
  </si>
  <si>
    <t>Hoàng Văn Thanh</t>
  </si>
  <si>
    <t>Nguyễn Đình Cử</t>
  </si>
  <si>
    <t xml:space="preserve"> </t>
  </si>
  <si>
    <t>Điện nhà ăn + bếp</t>
  </si>
  <si>
    <t>(5)</t>
  </si>
  <si>
    <t>(6)=(1+2-3-4-5)</t>
  </si>
  <si>
    <t>Bảo đảm (Không tính quân y f bộ)</t>
  </si>
  <si>
    <t>Phòng cắt tóc</t>
  </si>
  <si>
    <t>TL Dũng</t>
  </si>
  <si>
    <t>P3 Phong; Thắng</t>
  </si>
  <si>
    <t>TL Nam</t>
  </si>
  <si>
    <t>TLKH Vũ, Huy</t>
  </si>
  <si>
    <t>TLKH huy, Vũ</t>
  </si>
  <si>
    <t>Ngô Minh Phương</t>
  </si>
  <si>
    <t>Ngân Hàng MB</t>
  </si>
  <si>
    <t>Nguyễn Văn Kiên</t>
  </si>
  <si>
    <t>Dân vận</t>
  </si>
  <si>
    <t xml:space="preserve">Phòng ăn </t>
  </si>
  <si>
    <t xml:space="preserve"> Thiết + Chiến sĩ</t>
  </si>
  <si>
    <t>Nguyễn Anh Trung</t>
  </si>
  <si>
    <t xml:space="preserve">Lương Tuấn Hùng </t>
  </si>
  <si>
    <t>Vũ Văn Miện</t>
  </si>
  <si>
    <t xml:space="preserve"> Phạm Duy Hiển</t>
  </si>
  <si>
    <t>Phạm Bằng Thương</t>
  </si>
  <si>
    <t>Lê Bá Thuyên</t>
  </si>
  <si>
    <t>Nhiên</t>
  </si>
  <si>
    <t>Nhiên + CS</t>
  </si>
  <si>
    <t>TL. SƯ ĐOÀN TRƯỞNG</t>
  </si>
  <si>
    <t>Nguyễn Quang Huy</t>
  </si>
  <si>
    <t>Điều hòa tổ xe</t>
  </si>
  <si>
    <t xml:space="preserve">                                                         </t>
  </si>
  <si>
    <t>Nguyễn Văn Triệu</t>
  </si>
  <si>
    <t>Nguyễn Văn Nam</t>
  </si>
  <si>
    <t>Trạm cơ công</t>
  </si>
  <si>
    <t>Phòng ở Hội trường (Ánh)</t>
  </si>
  <si>
    <t>Phòng ở Hội trường (Bếp)</t>
  </si>
  <si>
    <t>Cơ công</t>
  </si>
  <si>
    <t>Ánh (Hội trường)</t>
  </si>
  <si>
    <t>Hồ Văn Cường</t>
  </si>
  <si>
    <t>Nguyễn Hữu Tùng</t>
  </si>
  <si>
    <t xml:space="preserve">Nguyễn Quang Đức </t>
  </si>
  <si>
    <t>Trạm chế biến</t>
  </si>
  <si>
    <t>Thừa tháng trước chuyển sang</t>
  </si>
  <si>
    <t xml:space="preserve"> Tuấn Anh, Huy</t>
  </si>
  <si>
    <t>Phiêu; Hưng</t>
  </si>
  <si>
    <t>TB + Tùng + Linh</t>
  </si>
  <si>
    <t>Phòng ăn tầng 2</t>
  </si>
  <si>
    <t>Trưởng ban + Qúy</t>
  </si>
  <si>
    <t>Tuấn, Nam,Công</t>
  </si>
  <si>
    <t xml:space="preserve"> Thiệp, Chung</t>
  </si>
  <si>
    <t xml:space="preserve"> Tuấn; Chiến sỹ</t>
  </si>
  <si>
    <t xml:space="preserve"> TB Q. Lực</t>
  </si>
  <si>
    <t>Trưởng ban + QUÝ</t>
  </si>
  <si>
    <t xml:space="preserve"> Tuấn, Nam,Công</t>
  </si>
  <si>
    <t>Thiệp, Chung</t>
  </si>
  <si>
    <t>Tuấn, chiến sĩ</t>
  </si>
  <si>
    <t xml:space="preserve"> Hưng,Phiêu</t>
  </si>
  <si>
    <t>Nguyên,Đạt</t>
  </si>
  <si>
    <t>TB Thịnh</t>
  </si>
  <si>
    <t>TMP Trường</t>
  </si>
  <si>
    <t>Vũ Tuấn Thịnh</t>
  </si>
  <si>
    <t>TB + Thịnh</t>
  </si>
  <si>
    <t>Nguyễn Văn Cường</t>
  </si>
  <si>
    <t>Trần Văn Ngọc</t>
  </si>
  <si>
    <t>Phạm Duy Hưng</t>
  </si>
  <si>
    <t>Nguyễn Văn Trường</t>
  </si>
  <si>
    <t>Vũ Quang Trung</t>
  </si>
  <si>
    <t>Phạm văn Huỳnh</t>
  </si>
  <si>
    <t>Đỗ Đức Phường</t>
  </si>
  <si>
    <t>TB  + Ngọc</t>
  </si>
  <si>
    <t>TB Mạnh + Hiếu</t>
  </si>
  <si>
    <t>TMP Hưng</t>
  </si>
  <si>
    <t>TB + Hiếu</t>
  </si>
  <si>
    <t>Thịnh + Huỳnh</t>
  </si>
  <si>
    <t>P4 Vũ;Giang</t>
  </si>
  <si>
    <t>Phòng ăn tầng 1</t>
  </si>
  <si>
    <t>Thành; Thế</t>
  </si>
  <si>
    <t>Thợ xây</t>
  </si>
  <si>
    <t xml:space="preserve">   </t>
  </si>
  <si>
    <t>Tô Đình Huy</t>
  </si>
  <si>
    <t>Long</t>
  </si>
  <si>
    <t>TL Tùng,Cường</t>
  </si>
  <si>
    <t>TÍNH TOÁN TIÊU CHUẨN, SỬ DỤNG ĐIỆN NƯỚC THÁNG 02/2026</t>
  </si>
  <si>
    <t>Tống Xuân Hưng</t>
  </si>
  <si>
    <t>Quỳnh;  Tú</t>
  </si>
  <si>
    <t>TB + Tùng +Cường</t>
  </si>
  <si>
    <t>Thiếu tá Nguyễn Duy Hậu</t>
  </si>
  <si>
    <t>Đàm Văn Khỏe     (Điện nlv = 502 kW)</t>
  </si>
  <si>
    <t>TLCT Huy</t>
  </si>
  <si>
    <t>THÁNG 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</si>
</sst>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_);_(* \(#,##0\);_(* &quot;-&quot;?_);_(@_)"/>
    <numFmt numFmtId="167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4"/>
      <color theme="1"/>
      <name val="Times New Roman"/>
      <family val="1"/>
    </font>
    <font>
      <sz val="10"/>
      <name val=".VnTime"/>
      <family val="2"/>
    </font>
    <font>
      <sz val="12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2"/>
    </font>
    <font>
      <sz val="8"/>
      <name val="Calibri"/>
      <family val="2"/>
      <scheme val="minor"/>
    </font>
    <font>
      <sz val="14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</cellStyleXfs>
  <cellXfs count="23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165" fontId="7" fillId="0" borderId="1" xfId="1" quotePrefix="1" applyNumberFormat="1" applyFont="1" applyFill="1" applyBorder="1" applyAlignment="1">
      <alignment horizontal="right" vertical="center"/>
    </xf>
    <xf numFmtId="165" fontId="3" fillId="0" borderId="1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10" fillId="0" borderId="1" xfId="3" applyNumberFormat="1" applyFont="1" applyFill="1" applyBorder="1" applyAlignment="1">
      <alignment horizontal="right" vertical="center"/>
    </xf>
    <xf numFmtId="165" fontId="10" fillId="0" borderId="1" xfId="1" applyNumberFormat="1" applyFont="1" applyFill="1" applyBorder="1" applyAlignment="1">
      <alignment horizontal="right" vertical="center"/>
    </xf>
    <xf numFmtId="165" fontId="7" fillId="0" borderId="1" xfId="1" applyNumberFormat="1" applyFont="1" applyFill="1" applyBorder="1" applyAlignment="1">
      <alignment horizontal="right" vertical="center"/>
    </xf>
    <xf numFmtId="165" fontId="10" fillId="0" borderId="1" xfId="1" quotePrefix="1" applyNumberFormat="1" applyFont="1" applyFill="1" applyBorder="1" applyAlignment="1">
      <alignment horizontal="right" vertical="center"/>
    </xf>
    <xf numFmtId="165" fontId="10" fillId="0" borderId="1" xfId="1" applyNumberFormat="1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right" vertical="center"/>
    </xf>
    <xf numFmtId="165" fontId="4" fillId="0" borderId="0" xfId="1" applyNumberFormat="1" applyFont="1" applyFill="1" applyBorder="1" applyAlignment="1">
      <alignment vertical="center"/>
    </xf>
    <xf numFmtId="165" fontId="4" fillId="0" borderId="1" xfId="1" applyNumberFormat="1" applyFont="1" applyFill="1" applyBorder="1" applyAlignment="1">
      <alignment horizontal="right" vertical="center" wrapText="1"/>
    </xf>
    <xf numFmtId="165" fontId="4" fillId="0" borderId="0" xfId="1" applyNumberFormat="1" applyFont="1" applyFill="1" applyBorder="1" applyAlignment="1">
      <alignment horizontal="right" vertical="center" wrapText="1"/>
    </xf>
    <xf numFmtId="0" fontId="3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165" fontId="4" fillId="0" borderId="1" xfId="0" applyNumberFormat="1" applyFont="1" applyFill="1" applyBorder="1" applyAlignment="1">
      <alignment horizontal="right" vertical="center"/>
    </xf>
    <xf numFmtId="0" fontId="3" fillId="0" borderId="0" xfId="0" quotePrefix="1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165" fontId="4" fillId="0" borderId="0" xfId="1" applyNumberFormat="1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3" fillId="0" borderId="1" xfId="0" quotePrefix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7" fillId="0" borderId="1" xfId="0" quotePrefix="1" applyNumberFormat="1" applyFont="1" applyFill="1" applyBorder="1" applyAlignment="1">
      <alignment horizontal="left" vertical="center"/>
    </xf>
    <xf numFmtId="49" fontId="7" fillId="0" borderId="11" xfId="0" quotePrefix="1" applyNumberFormat="1" applyFont="1" applyFill="1" applyBorder="1" applyAlignment="1">
      <alignment horizontal="center" vertical="center" textRotation="90"/>
    </xf>
    <xf numFmtId="0" fontId="10" fillId="0" borderId="1" xfId="2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7" fillId="0" borderId="1" xfId="2" applyFont="1" applyFill="1" applyBorder="1" applyAlignment="1">
      <alignment vertical="center"/>
    </xf>
    <xf numFmtId="49" fontId="7" fillId="0" borderId="6" xfId="0" quotePrefix="1" applyNumberFormat="1" applyFont="1" applyFill="1" applyBorder="1" applyAlignment="1">
      <alignment vertical="center" textRotation="90"/>
    </xf>
    <xf numFmtId="49" fontId="7" fillId="0" borderId="1" xfId="0" quotePrefix="1" applyNumberFormat="1" applyFont="1" applyFill="1" applyBorder="1" applyAlignment="1">
      <alignment vertical="center" textRotation="90"/>
    </xf>
    <xf numFmtId="49" fontId="7" fillId="0" borderId="7" xfId="0" quotePrefix="1" applyNumberFormat="1" applyFont="1" applyFill="1" applyBorder="1" applyAlignment="1">
      <alignment horizontal="center" vertical="center" textRotation="90"/>
    </xf>
    <xf numFmtId="0" fontId="11" fillId="0" borderId="1" xfId="2" applyFont="1" applyFill="1" applyBorder="1" applyAlignment="1">
      <alignment vertical="center"/>
    </xf>
    <xf numFmtId="49" fontId="7" fillId="0" borderId="1" xfId="0" quotePrefix="1" applyNumberFormat="1" applyFont="1" applyFill="1" applyBorder="1" applyAlignment="1">
      <alignment horizontal="center" vertical="center" textRotation="90"/>
    </xf>
    <xf numFmtId="165" fontId="15" fillId="0" borderId="1" xfId="1" applyNumberFormat="1" applyFont="1" applyFill="1" applyBorder="1" applyAlignment="1">
      <alignment horizontal="center" vertical="center"/>
    </xf>
    <xf numFmtId="0" fontId="7" fillId="0" borderId="1" xfId="4" applyFont="1" applyFill="1" applyBorder="1"/>
    <xf numFmtId="0" fontId="12" fillId="0" borderId="1" xfId="0" applyFont="1" applyFill="1" applyBorder="1"/>
    <xf numFmtId="165" fontId="7" fillId="0" borderId="1" xfId="1" applyNumberFormat="1" applyFont="1" applyFill="1" applyBorder="1"/>
    <xf numFmtId="0" fontId="7" fillId="0" borderId="1" xfId="4" applyFont="1" applyFill="1" applyBorder="1" applyAlignment="1">
      <alignment wrapText="1"/>
    </xf>
    <xf numFmtId="0" fontId="1" fillId="0" borderId="1" xfId="0" applyFont="1" applyFill="1" applyBorder="1"/>
    <xf numFmtId="0" fontId="3" fillId="0" borderId="0" xfId="0" quotePrefix="1" applyFont="1" applyFill="1" applyAlignment="1">
      <alignment horizontal="right" vertical="center"/>
    </xf>
    <xf numFmtId="165" fontId="4" fillId="0" borderId="0" xfId="0" applyNumberFormat="1" applyFont="1" applyFill="1" applyAlignment="1">
      <alignment vertical="center"/>
    </xf>
    <xf numFmtId="165" fontId="4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vertical="center" wrapText="1"/>
    </xf>
    <xf numFmtId="165" fontId="4" fillId="0" borderId="0" xfId="0" applyNumberFormat="1" applyFont="1" applyFill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center" wrapText="1"/>
    </xf>
    <xf numFmtId="0" fontId="10" fillId="0" borderId="1" xfId="0" quotePrefix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0" fillId="0" borderId="1" xfId="0" quotePrefix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/>
    </xf>
    <xf numFmtId="1" fontId="16" fillId="0" borderId="1" xfId="0" applyNumberFormat="1" applyFont="1" applyFill="1" applyBorder="1" applyAlignment="1">
      <alignment vertical="center"/>
    </xf>
    <xf numFmtId="165" fontId="16" fillId="0" borderId="1" xfId="1" applyNumberFormat="1" applyFont="1" applyFill="1" applyBorder="1" applyAlignment="1">
      <alignment vertical="center"/>
    </xf>
    <xf numFmtId="0" fontId="16" fillId="0" borderId="1" xfId="0" quotePrefix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right" vertical="center" wrapText="1"/>
    </xf>
    <xf numFmtId="165" fontId="10" fillId="0" borderId="1" xfId="1" applyNumberFormat="1" applyFont="1" applyFill="1" applyBorder="1" applyAlignment="1">
      <alignment horizontal="right" vertical="center" wrapText="1"/>
    </xf>
    <xf numFmtId="165" fontId="10" fillId="0" borderId="1" xfId="0" applyNumberFormat="1" applyFont="1" applyFill="1" applyBorder="1" applyAlignment="1">
      <alignment horizontal="right" vertical="center" wrapText="1"/>
    </xf>
    <xf numFmtId="1" fontId="10" fillId="0" borderId="1" xfId="0" applyNumberFormat="1" applyFont="1" applyFill="1" applyBorder="1" applyAlignment="1">
      <alignment horizontal="right" vertical="center" wrapText="1"/>
    </xf>
    <xf numFmtId="1" fontId="10" fillId="0" borderId="1" xfId="0" applyNumberFormat="1" applyFont="1" applyFill="1" applyBorder="1" applyAlignment="1">
      <alignment horizontal="right" vertical="center"/>
    </xf>
    <xf numFmtId="166" fontId="10" fillId="0" borderId="1" xfId="0" applyNumberFormat="1" applyFont="1" applyFill="1" applyBorder="1" applyAlignment="1">
      <alignment vertical="center"/>
    </xf>
    <xf numFmtId="165" fontId="10" fillId="0" borderId="1" xfId="0" applyNumberFormat="1" applyFont="1" applyFill="1" applyBorder="1" applyAlignment="1">
      <alignment vertical="center"/>
    </xf>
    <xf numFmtId="1" fontId="10" fillId="0" borderId="1" xfId="0" applyNumberFormat="1" applyFont="1" applyFill="1" applyBorder="1" applyAlignment="1">
      <alignment vertical="center"/>
    </xf>
    <xf numFmtId="164" fontId="10" fillId="0" borderId="1" xfId="0" applyNumberFormat="1" applyFont="1" applyFill="1" applyBorder="1" applyAlignment="1">
      <alignment horizontal="right" vertical="center" wrapText="1"/>
    </xf>
    <xf numFmtId="164" fontId="10" fillId="0" borderId="1" xfId="0" applyNumberFormat="1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vertical="center"/>
    </xf>
    <xf numFmtId="165" fontId="16" fillId="0" borderId="1" xfId="0" applyNumberFormat="1" applyFont="1" applyFill="1" applyBorder="1" applyAlignment="1">
      <alignment vertical="center"/>
    </xf>
    <xf numFmtId="49" fontId="7" fillId="0" borderId="1" xfId="0" quotePrefix="1" applyNumberFormat="1" applyFont="1" applyFill="1" applyBorder="1" applyAlignment="1">
      <alignment horizontal="center" vertical="center" textRotation="90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0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165" fontId="10" fillId="0" borderId="1" xfId="0" applyNumberFormat="1" applyFont="1" applyFill="1" applyBorder="1" applyAlignment="1">
      <alignment horizontal="center" vertical="center"/>
    </xf>
    <xf numFmtId="165" fontId="16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165" fontId="3" fillId="0" borderId="0" xfId="0" applyNumberFormat="1" applyFont="1" applyFill="1" applyAlignment="1">
      <alignment vertical="center"/>
    </xf>
    <xf numFmtId="165" fontId="14" fillId="0" borderId="0" xfId="0" applyNumberFormat="1" applyFont="1" applyFill="1" applyAlignment="1">
      <alignment vertical="center"/>
    </xf>
    <xf numFmtId="0" fontId="7" fillId="0" borderId="0" xfId="0" applyFont="1"/>
    <xf numFmtId="165" fontId="7" fillId="0" borderId="0" xfId="0" applyNumberFormat="1" applyFont="1"/>
    <xf numFmtId="165" fontId="7" fillId="0" borderId="0" xfId="0" applyNumberFormat="1" applyFont="1" applyAlignment="1">
      <alignment vertical="center"/>
    </xf>
    <xf numFmtId="165" fontId="10" fillId="0" borderId="1" xfId="1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0" fillId="2" borderId="1" xfId="2" applyFont="1" applyFill="1" applyBorder="1" applyAlignment="1">
      <alignment vertical="center"/>
    </xf>
    <xf numFmtId="0" fontId="10" fillId="2" borderId="1" xfId="0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 wrapText="1"/>
    </xf>
    <xf numFmtId="164" fontId="10" fillId="2" borderId="1" xfId="0" applyNumberFormat="1" applyFont="1" applyFill="1" applyBorder="1" applyAlignment="1">
      <alignment horizontal="right" vertical="center" wrapText="1"/>
    </xf>
    <xf numFmtId="164" fontId="10" fillId="2" borderId="1" xfId="0" applyNumberFormat="1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>
      <alignment vertical="center"/>
    </xf>
    <xf numFmtId="1" fontId="10" fillId="2" borderId="1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1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167" fontId="7" fillId="0" borderId="1" xfId="1" quotePrefix="1" applyNumberFormat="1" applyFont="1" applyFill="1" applyBorder="1" applyAlignment="1">
      <alignment horizontal="right" vertical="center"/>
    </xf>
    <xf numFmtId="165" fontId="10" fillId="0" borderId="1" xfId="2" applyNumberFormat="1" applyFont="1" applyFill="1" applyBorder="1" applyAlignment="1">
      <alignment vertical="center"/>
    </xf>
    <xf numFmtId="165" fontId="3" fillId="0" borderId="4" xfId="1" applyNumberFormat="1" applyFont="1" applyFill="1" applyBorder="1" applyAlignment="1">
      <alignment horizontal="center" vertical="center" wrapText="1"/>
    </xf>
    <xf numFmtId="165" fontId="3" fillId="0" borderId="9" xfId="1" applyNumberFormat="1" applyFont="1" applyFill="1" applyBorder="1" applyAlignment="1">
      <alignment horizontal="center" vertical="center" wrapText="1"/>
    </xf>
    <xf numFmtId="165" fontId="3" fillId="0" borderId="5" xfId="1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65" fontId="11" fillId="0" borderId="1" xfId="0" applyNumberFormat="1" applyFont="1" applyFill="1" applyBorder="1" applyAlignment="1">
      <alignment vertical="center" wrapText="1"/>
    </xf>
    <xf numFmtId="165" fontId="11" fillId="0" borderId="1" xfId="0" applyNumberFormat="1" applyFont="1" applyFill="1" applyBorder="1" applyAlignment="1">
      <alignment horizontal="center" vertical="center" wrapText="1"/>
    </xf>
    <xf numFmtId="43" fontId="7" fillId="0" borderId="1" xfId="1" quotePrefix="1" applyNumberFormat="1" applyFont="1" applyFill="1" applyBorder="1" applyAlignment="1">
      <alignment horizontal="right" vertical="center"/>
    </xf>
    <xf numFmtId="2" fontId="3" fillId="0" borderId="0" xfId="0" applyNumberFormat="1" applyFont="1" applyFill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1" xfId="2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/>
    </xf>
    <xf numFmtId="165" fontId="3" fillId="0" borderId="4" xfId="1" applyNumberFormat="1" applyFont="1" applyFill="1" applyBorder="1" applyAlignment="1">
      <alignment horizontal="center" vertical="center" wrapText="1"/>
    </xf>
    <xf numFmtId="165" fontId="3" fillId="0" borderId="9" xfId="1" applyNumberFormat="1" applyFont="1" applyFill="1" applyBorder="1" applyAlignment="1">
      <alignment horizontal="center" vertical="center" wrapText="1"/>
    </xf>
    <xf numFmtId="165" fontId="3" fillId="0" borderId="5" xfId="1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49" fontId="7" fillId="0" borderId="6" xfId="0" quotePrefix="1" applyNumberFormat="1" applyFont="1" applyFill="1" applyBorder="1" applyAlignment="1">
      <alignment horizontal="center" vertical="center" textRotation="90"/>
    </xf>
    <xf numFmtId="49" fontId="7" fillId="0" borderId="7" xfId="0" quotePrefix="1" applyNumberFormat="1" applyFont="1" applyFill="1" applyBorder="1" applyAlignment="1">
      <alignment horizontal="center" vertical="center" textRotation="90"/>
    </xf>
    <xf numFmtId="0" fontId="4" fillId="0" borderId="1" xfId="0" applyFont="1" applyFill="1" applyBorder="1" applyAlignment="1">
      <alignment horizontal="center" vertical="center"/>
    </xf>
    <xf numFmtId="49" fontId="7" fillId="0" borderId="11" xfId="0" quotePrefix="1" applyNumberFormat="1" applyFont="1" applyFill="1" applyBorder="1" applyAlignment="1">
      <alignment horizontal="center" vertical="center" textRotation="90"/>
    </xf>
    <xf numFmtId="49" fontId="10" fillId="0" borderId="6" xfId="0" quotePrefix="1" applyNumberFormat="1" applyFont="1" applyFill="1" applyBorder="1" applyAlignment="1">
      <alignment horizontal="center" vertical="center" textRotation="90"/>
    </xf>
    <xf numFmtId="49" fontId="10" fillId="0" borderId="7" xfId="0" quotePrefix="1" applyNumberFormat="1" applyFont="1" applyFill="1" applyBorder="1" applyAlignment="1">
      <alignment horizontal="center" vertical="center" textRotation="90"/>
    </xf>
    <xf numFmtId="49" fontId="7" fillId="0" borderId="1" xfId="0" quotePrefix="1" applyNumberFormat="1" applyFont="1" applyFill="1" applyBorder="1" applyAlignment="1">
      <alignment horizontal="center" vertical="center" textRotation="90"/>
    </xf>
    <xf numFmtId="0" fontId="3" fillId="0" borderId="0" xfId="0" quotePrefix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165" fontId="3" fillId="0" borderId="1" xfId="1" applyNumberFormat="1" applyFont="1" applyFill="1" applyBorder="1" applyAlignment="1">
      <alignment horizontal="center" vertical="center" wrapText="1"/>
    </xf>
    <xf numFmtId="165" fontId="3" fillId="0" borderId="2" xfId="1" applyNumberFormat="1" applyFont="1" applyFill="1" applyBorder="1" applyAlignment="1">
      <alignment horizontal="center" vertical="center" wrapText="1"/>
    </xf>
    <xf numFmtId="165" fontId="3" fillId="0" borderId="10" xfId="1" applyNumberFormat="1" applyFont="1" applyFill="1" applyBorder="1" applyAlignment="1">
      <alignment horizontal="center" vertical="center" wrapText="1"/>
    </xf>
    <xf numFmtId="165" fontId="3" fillId="0" borderId="3" xfId="1" applyNumberFormat="1" applyFont="1" applyFill="1" applyBorder="1" applyAlignment="1">
      <alignment horizontal="center" vertical="center" wrapText="1"/>
    </xf>
    <xf numFmtId="165" fontId="3" fillId="0" borderId="8" xfId="1" applyNumberFormat="1" applyFont="1" applyFill="1" applyBorder="1" applyAlignment="1">
      <alignment horizontal="center" vertical="center" wrapText="1"/>
    </xf>
    <xf numFmtId="165" fontId="3" fillId="0" borderId="0" xfId="1" applyNumberFormat="1" applyFont="1" applyFill="1" applyBorder="1" applyAlignment="1">
      <alignment horizontal="center" vertical="center" wrapText="1"/>
    </xf>
    <xf numFmtId="165" fontId="3" fillId="0" borderId="12" xfId="1" applyNumberFormat="1" applyFont="1" applyFill="1" applyBorder="1" applyAlignment="1">
      <alignment horizontal="center" vertical="center" wrapText="1"/>
    </xf>
    <xf numFmtId="165" fontId="3" fillId="0" borderId="4" xfId="1" applyNumberFormat="1" applyFont="1" applyFill="1" applyBorder="1" applyAlignment="1">
      <alignment horizontal="center" vertical="center" wrapText="1"/>
    </xf>
    <xf numFmtId="165" fontId="3" fillId="0" borderId="9" xfId="1" applyNumberFormat="1" applyFont="1" applyFill="1" applyBorder="1" applyAlignment="1">
      <alignment horizontal="center" vertical="center" wrapText="1"/>
    </xf>
    <xf numFmtId="165" fontId="3" fillId="0" borderId="5" xfId="1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13" xfId="0" quotePrefix="1" applyFont="1" applyFill="1" applyBorder="1" applyAlignment="1">
      <alignment horizontal="center" vertical="center"/>
    </xf>
    <xf numFmtId="0" fontId="10" fillId="0" borderId="15" xfId="0" quotePrefix="1" applyFont="1" applyFill="1" applyBorder="1" applyAlignment="1">
      <alignment horizontal="center" vertical="center"/>
    </xf>
    <xf numFmtId="165" fontId="10" fillId="0" borderId="6" xfId="0" applyNumberFormat="1" applyFont="1" applyFill="1" applyBorder="1" applyAlignment="1">
      <alignment horizontal="center" vertical="center"/>
    </xf>
    <xf numFmtId="165" fontId="10" fillId="0" borderId="11" xfId="0" applyNumberFormat="1" applyFont="1" applyFill="1" applyBorder="1" applyAlignment="1">
      <alignment horizontal="center" vertical="center"/>
    </xf>
    <xf numFmtId="165" fontId="10" fillId="0" borderId="7" xfId="0" applyNumberFormat="1" applyFont="1" applyFill="1" applyBorder="1" applyAlignment="1">
      <alignment horizontal="center" vertical="center"/>
    </xf>
    <xf numFmtId="165" fontId="10" fillId="2" borderId="6" xfId="0" applyNumberFormat="1" applyFont="1" applyFill="1" applyBorder="1" applyAlignment="1">
      <alignment horizontal="center" vertical="center"/>
    </xf>
    <xf numFmtId="165" fontId="10" fillId="2" borderId="11" xfId="0" applyNumberFormat="1" applyFont="1" applyFill="1" applyBorder="1" applyAlignment="1">
      <alignment horizontal="center" vertical="center"/>
    </xf>
    <xf numFmtId="165" fontId="10" fillId="2" borderId="7" xfId="0" applyNumberFormat="1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center" vertical="center"/>
    </xf>
    <xf numFmtId="0" fontId="10" fillId="0" borderId="11" xfId="2" applyFont="1" applyFill="1" applyBorder="1" applyAlignment="1">
      <alignment horizontal="center" vertical="center"/>
    </xf>
    <xf numFmtId="0" fontId="10" fillId="0" borderId="7" xfId="2" applyFont="1" applyFill="1" applyBorder="1" applyAlignment="1">
      <alignment horizontal="center" vertical="center"/>
    </xf>
    <xf numFmtId="165" fontId="10" fillId="0" borderId="6" xfId="2" applyNumberFormat="1" applyFont="1" applyFill="1" applyBorder="1" applyAlignment="1">
      <alignment horizontal="center" vertical="center"/>
    </xf>
    <xf numFmtId="165" fontId="10" fillId="0" borderId="11" xfId="2" applyNumberFormat="1" applyFont="1" applyFill="1" applyBorder="1" applyAlignment="1">
      <alignment horizontal="center" vertical="center"/>
    </xf>
    <xf numFmtId="165" fontId="10" fillId="0" borderId="7" xfId="2" applyNumberFormat="1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left" vertical="center" wrapText="1"/>
    </xf>
    <xf numFmtId="0" fontId="10" fillId="0" borderId="15" xfId="0" applyFont="1" applyFill="1" applyBorder="1" applyAlignment="1">
      <alignment horizontal="left" vertical="center" wrapText="1"/>
    </xf>
    <xf numFmtId="0" fontId="10" fillId="0" borderId="13" xfId="2" applyFont="1" applyFill="1" applyBorder="1" applyAlignment="1">
      <alignment horizontal="left" vertical="center"/>
    </xf>
    <xf numFmtId="0" fontId="10" fillId="0" borderId="15" xfId="2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left" vertical="center" wrapText="1"/>
    </xf>
    <xf numFmtId="0" fontId="16" fillId="0" borderId="15" xfId="0" applyFont="1" applyFill="1" applyBorder="1" applyAlignment="1">
      <alignment horizontal="left" vertical="center" wrapText="1"/>
    </xf>
    <xf numFmtId="0" fontId="16" fillId="0" borderId="13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165" fontId="10" fillId="2" borderId="6" xfId="2" applyNumberFormat="1" applyFont="1" applyFill="1" applyBorder="1" applyAlignment="1">
      <alignment horizontal="center" vertical="center"/>
    </xf>
    <xf numFmtId="165" fontId="10" fillId="2" borderId="11" xfId="2" applyNumberFormat="1" applyFont="1" applyFill="1" applyBorder="1" applyAlignment="1">
      <alignment horizontal="center" vertical="center"/>
    </xf>
    <xf numFmtId="165" fontId="10" fillId="2" borderId="7" xfId="2" applyNumberFormat="1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left" vertical="center"/>
    </xf>
    <xf numFmtId="0" fontId="10" fillId="0" borderId="15" xfId="0" applyFont="1" applyFill="1" applyBorder="1" applyAlignment="1">
      <alignment horizontal="left" vertical="center"/>
    </xf>
    <xf numFmtId="0" fontId="10" fillId="0" borderId="13" xfId="4" applyFont="1" applyFill="1" applyBorder="1" applyAlignment="1">
      <alignment horizontal="left" vertical="center"/>
    </xf>
    <xf numFmtId="0" fontId="10" fillId="0" borderId="15" xfId="4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1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0" fillId="2" borderId="6" xfId="2" applyFont="1" applyFill="1" applyBorder="1" applyAlignment="1">
      <alignment horizontal="center" vertical="center" wrapText="1"/>
    </xf>
    <xf numFmtId="0" fontId="10" fillId="2" borderId="11" xfId="2" applyFont="1" applyFill="1" applyBorder="1" applyAlignment="1">
      <alignment horizontal="center" vertical="center" wrapText="1"/>
    </xf>
    <xf numFmtId="0" fontId="10" fillId="2" borderId="7" xfId="2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0" fillId="0" borderId="6" xfId="0" quotePrefix="1" applyFont="1" applyFill="1" applyBorder="1" applyAlignment="1">
      <alignment horizontal="center" vertical="center"/>
    </xf>
    <xf numFmtId="0" fontId="10" fillId="0" borderId="11" xfId="0" quotePrefix="1" applyFont="1" applyFill="1" applyBorder="1" applyAlignment="1">
      <alignment horizontal="center" vertical="center"/>
    </xf>
    <xf numFmtId="0" fontId="10" fillId="0" borderId="7" xfId="0" quotePrefix="1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10" fillId="2" borderId="6" xfId="0" quotePrefix="1" applyFont="1" applyFill="1" applyBorder="1" applyAlignment="1">
      <alignment horizontal="center" vertical="center"/>
    </xf>
    <xf numFmtId="0" fontId="10" fillId="2" borderId="11" xfId="0" quotePrefix="1" applyFont="1" applyFill="1" applyBorder="1" applyAlignment="1">
      <alignment horizontal="center" vertical="center"/>
    </xf>
    <xf numFmtId="0" fontId="10" fillId="2" borderId="7" xfId="0" quotePrefix="1" applyFont="1" applyFill="1" applyBorder="1" applyAlignment="1">
      <alignment horizontal="center" vertical="center"/>
    </xf>
  </cellXfs>
  <cellStyles count="6">
    <cellStyle name="Comma" xfId="1" builtinId="3"/>
    <cellStyle name="Comma 2" xfId="3"/>
    <cellStyle name="Comma 3" xfId="5"/>
    <cellStyle name="Normal" xfId="0" builtinId="0"/>
    <cellStyle name="Normal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71"/>
  <sheetViews>
    <sheetView view="pageBreakPreview" zoomScale="85" zoomScaleNormal="70" zoomScaleSheetLayoutView="85" workbookViewId="0">
      <selection activeCell="G8" sqref="G8"/>
    </sheetView>
  </sheetViews>
  <sheetFormatPr defaultColWidth="8.85546875" defaultRowHeight="18.75" x14ac:dyDescent="0.25"/>
  <cols>
    <col min="1" max="1" width="8.42578125" style="21" customWidth="1"/>
    <col min="2" max="2" width="27.7109375" style="21" customWidth="1"/>
    <col min="3" max="3" width="21.5703125" style="32" customWidth="1"/>
    <col min="4" max="4" width="20" style="32" customWidth="1"/>
    <col min="5" max="5" width="19.28515625" style="32" customWidth="1"/>
    <col min="6" max="6" width="20.140625" style="32" customWidth="1"/>
    <col min="7" max="7" width="17.85546875" style="21" customWidth="1"/>
    <col min="8" max="8" width="18.42578125" style="21" customWidth="1"/>
    <col min="9" max="9" width="23.28515625" style="21" customWidth="1"/>
    <col min="10" max="10" width="8.85546875" style="21"/>
    <col min="11" max="11" width="10.140625" style="21" bestFit="1" customWidth="1"/>
    <col min="12" max="16384" width="8.85546875" style="21"/>
  </cols>
  <sheetData>
    <row r="1" spans="1:10" x14ac:dyDescent="0.25">
      <c r="A1" s="140" t="s">
        <v>345</v>
      </c>
      <c r="B1" s="140"/>
      <c r="C1" s="140"/>
      <c r="D1" s="140"/>
      <c r="E1" s="140"/>
      <c r="F1" s="140"/>
      <c r="G1" s="140"/>
      <c r="H1" s="140"/>
      <c r="I1" s="140"/>
      <c r="J1" s="140"/>
    </row>
    <row r="2" spans="1:10" x14ac:dyDescent="0.25">
      <c r="A2" s="140" t="s">
        <v>30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0" x14ac:dyDescent="0.25">
      <c r="A3" s="22"/>
      <c r="B3" s="22"/>
      <c r="C3" s="23"/>
      <c r="D3" s="23"/>
      <c r="E3" s="23"/>
      <c r="F3" s="23"/>
      <c r="G3" s="22"/>
      <c r="H3" s="22"/>
      <c r="I3" s="22"/>
    </row>
    <row r="4" spans="1:10" x14ac:dyDescent="0.25">
      <c r="B4" s="24" t="s">
        <v>157</v>
      </c>
      <c r="C4" s="25"/>
      <c r="D4" s="25"/>
      <c r="E4" s="25"/>
      <c r="F4" s="25"/>
      <c r="G4" s="24"/>
      <c r="H4" s="24"/>
      <c r="I4" s="24"/>
    </row>
    <row r="5" spans="1:10" x14ac:dyDescent="0.25">
      <c r="B5" s="24" t="s">
        <v>159</v>
      </c>
      <c r="C5" s="25"/>
      <c r="D5" s="25"/>
      <c r="E5" s="25"/>
      <c r="F5" s="25"/>
      <c r="G5" s="24"/>
      <c r="H5" s="24"/>
      <c r="I5" s="24"/>
    </row>
    <row r="6" spans="1:10" x14ac:dyDescent="0.25">
      <c r="B6" s="26"/>
      <c r="C6" s="27" t="s">
        <v>2</v>
      </c>
      <c r="D6" s="27" t="s">
        <v>3</v>
      </c>
      <c r="E6" s="28" t="s">
        <v>23</v>
      </c>
      <c r="F6" s="25"/>
      <c r="G6" s="24"/>
      <c r="H6" s="24"/>
      <c r="I6" s="24"/>
    </row>
    <row r="7" spans="1:10" x14ac:dyDescent="0.25">
      <c r="B7" s="29" t="s">
        <v>125</v>
      </c>
      <c r="C7" s="10">
        <v>95440</v>
      </c>
      <c r="D7" s="10">
        <v>99460</v>
      </c>
      <c r="E7" s="30">
        <f>D7-C7</f>
        <v>4020</v>
      </c>
      <c r="F7" s="25"/>
      <c r="G7" s="24"/>
      <c r="H7" s="24"/>
      <c r="I7" s="24"/>
    </row>
    <row r="8" spans="1:10" x14ac:dyDescent="0.25">
      <c r="B8" s="26" t="s">
        <v>161</v>
      </c>
      <c r="C8" s="10"/>
      <c r="D8" s="10"/>
      <c r="E8" s="30">
        <f>SUM(E7:E7)</f>
        <v>4020</v>
      </c>
      <c r="F8" s="25"/>
      <c r="G8" s="24"/>
      <c r="H8" s="24"/>
      <c r="I8" s="24"/>
    </row>
    <row r="9" spans="1:10" x14ac:dyDescent="0.25">
      <c r="B9" s="31" t="s">
        <v>32</v>
      </c>
      <c r="G9" s="32"/>
      <c r="H9" s="33">
        <v>45960</v>
      </c>
    </row>
    <row r="10" spans="1:10" x14ac:dyDescent="0.25">
      <c r="B10" s="31" t="s">
        <v>162</v>
      </c>
      <c r="G10" s="32" t="s">
        <v>31</v>
      </c>
      <c r="H10" s="33">
        <f>H9-E8</f>
        <v>41940</v>
      </c>
    </row>
    <row r="12" spans="1:10" ht="56.25" x14ac:dyDescent="0.25">
      <c r="A12" s="34" t="s">
        <v>18</v>
      </c>
      <c r="B12" s="35" t="s">
        <v>46</v>
      </c>
      <c r="C12" s="143" t="s">
        <v>36</v>
      </c>
      <c r="D12" s="143"/>
      <c r="E12" s="143" t="s">
        <v>37</v>
      </c>
      <c r="F12" s="143"/>
      <c r="G12" s="34" t="s">
        <v>4</v>
      </c>
      <c r="H12" s="34" t="s">
        <v>5</v>
      </c>
      <c r="I12" s="34" t="s">
        <v>24</v>
      </c>
    </row>
    <row r="13" spans="1:10" x14ac:dyDescent="0.25">
      <c r="A13" s="34"/>
      <c r="B13" s="35"/>
      <c r="C13" s="36" t="s">
        <v>2</v>
      </c>
      <c r="D13" s="36" t="s">
        <v>3</v>
      </c>
      <c r="E13" s="36" t="s">
        <v>2</v>
      </c>
      <c r="F13" s="36" t="s">
        <v>3</v>
      </c>
      <c r="G13" s="34"/>
      <c r="H13" s="34"/>
      <c r="I13" s="34"/>
    </row>
    <row r="14" spans="1:10" x14ac:dyDescent="0.25">
      <c r="A14" s="37"/>
      <c r="B14" s="37"/>
      <c r="C14" s="37" t="s">
        <v>38</v>
      </c>
      <c r="D14" s="37" t="s">
        <v>39</v>
      </c>
      <c r="E14" s="37" t="s">
        <v>40</v>
      </c>
      <c r="F14" s="37" t="s">
        <v>41</v>
      </c>
      <c r="G14" s="37" t="s">
        <v>44</v>
      </c>
      <c r="H14" s="37" t="s">
        <v>42</v>
      </c>
      <c r="I14" s="37" t="s">
        <v>43</v>
      </c>
      <c r="J14" s="38"/>
    </row>
    <row r="15" spans="1:10" ht="25.9" customHeight="1" x14ac:dyDescent="0.25">
      <c r="A15" s="144" t="s">
        <v>45</v>
      </c>
      <c r="B15" s="39" t="s">
        <v>160</v>
      </c>
      <c r="C15" s="6">
        <v>90885</v>
      </c>
      <c r="D15" s="6">
        <v>98320</v>
      </c>
      <c r="E15" s="6"/>
      <c r="F15" s="6"/>
      <c r="G15" s="6">
        <f t="shared" ref="G15" si="0">D15+F15-C15-E15</f>
        <v>7435</v>
      </c>
      <c r="H15" s="6">
        <f t="shared" ref="H15:H46" si="1">G15*$D$157/$G$153</f>
        <v>324.12959092266345</v>
      </c>
      <c r="I15" s="6">
        <f>G15+H15</f>
        <v>7759.1295909226637</v>
      </c>
      <c r="J15" s="38"/>
    </row>
    <row r="16" spans="1:10" ht="27" customHeight="1" x14ac:dyDescent="0.25">
      <c r="A16" s="144"/>
      <c r="B16" s="39" t="s">
        <v>76</v>
      </c>
      <c r="C16" s="6"/>
      <c r="D16" s="6"/>
      <c r="E16" s="6">
        <v>814</v>
      </c>
      <c r="F16" s="6">
        <v>815</v>
      </c>
      <c r="G16" s="6">
        <f>D16+F16-C16-E16</f>
        <v>1</v>
      </c>
      <c r="H16" s="6">
        <f t="shared" si="1"/>
        <v>4.3595103015825622E-2</v>
      </c>
      <c r="I16" s="6">
        <f t="shared" ref="I16:I84" si="2">G16+H16</f>
        <v>1.0435951030158257</v>
      </c>
      <c r="J16" s="38"/>
    </row>
    <row r="17" spans="1:14" ht="25.9" customHeight="1" x14ac:dyDescent="0.25">
      <c r="A17" s="144"/>
      <c r="B17" s="39" t="s">
        <v>78</v>
      </c>
      <c r="C17" s="6"/>
      <c r="D17" s="6"/>
      <c r="E17" s="6">
        <v>180</v>
      </c>
      <c r="F17" s="6">
        <v>180</v>
      </c>
      <c r="G17" s="6">
        <f>D17+F17-C17-E17</f>
        <v>0</v>
      </c>
      <c r="H17" s="6">
        <f t="shared" si="1"/>
        <v>0</v>
      </c>
      <c r="I17" s="6">
        <f t="shared" si="2"/>
        <v>0</v>
      </c>
      <c r="J17" s="38"/>
    </row>
    <row r="18" spans="1:14" ht="28.15" customHeight="1" x14ac:dyDescent="0.25">
      <c r="A18" s="144"/>
      <c r="B18" s="39" t="s">
        <v>79</v>
      </c>
      <c r="C18" s="6"/>
      <c r="D18" s="6"/>
      <c r="E18" s="6">
        <v>526</v>
      </c>
      <c r="F18" s="6">
        <v>527</v>
      </c>
      <c r="G18" s="6">
        <f>D18+F18-C18-E18</f>
        <v>1</v>
      </c>
      <c r="H18" s="6">
        <f t="shared" si="1"/>
        <v>4.3595103015825622E-2</v>
      </c>
      <c r="I18" s="6">
        <f t="shared" si="2"/>
        <v>1.0435951030158257</v>
      </c>
      <c r="J18" s="38"/>
    </row>
    <row r="19" spans="1:14" ht="30" customHeight="1" x14ac:dyDescent="0.25">
      <c r="A19" s="144"/>
      <c r="B19" s="39" t="s">
        <v>77</v>
      </c>
      <c r="C19" s="6"/>
      <c r="D19" s="6"/>
      <c r="E19" s="6">
        <v>1589</v>
      </c>
      <c r="F19" s="6">
        <v>1589</v>
      </c>
      <c r="G19" s="6">
        <f>D19+F19-C19-E19</f>
        <v>0</v>
      </c>
      <c r="H19" s="6">
        <f t="shared" si="1"/>
        <v>0</v>
      </c>
      <c r="I19" s="6">
        <f t="shared" si="2"/>
        <v>0</v>
      </c>
      <c r="J19" s="38"/>
    </row>
    <row r="20" spans="1:14" ht="28.15" customHeight="1" x14ac:dyDescent="0.25">
      <c r="A20" s="142"/>
      <c r="B20" s="39" t="s">
        <v>80</v>
      </c>
      <c r="C20" s="6"/>
      <c r="D20" s="6"/>
      <c r="E20" s="6">
        <v>479</v>
      </c>
      <c r="F20" s="6">
        <v>479</v>
      </c>
      <c r="G20" s="6">
        <f>D20+F20-C20-E20</f>
        <v>0</v>
      </c>
      <c r="H20" s="6">
        <f t="shared" si="1"/>
        <v>0</v>
      </c>
      <c r="I20" s="6">
        <f t="shared" si="2"/>
        <v>0</v>
      </c>
      <c r="J20" s="38"/>
    </row>
    <row r="21" spans="1:14" ht="24" customHeight="1" x14ac:dyDescent="0.25">
      <c r="A21" s="40"/>
      <c r="B21" s="39"/>
      <c r="C21" s="6"/>
      <c r="D21" s="6"/>
      <c r="E21" s="6"/>
      <c r="F21" s="6"/>
      <c r="G21" s="6"/>
      <c r="H21" s="6">
        <f t="shared" si="1"/>
        <v>0</v>
      </c>
      <c r="I21" s="6"/>
      <c r="J21" s="38"/>
    </row>
    <row r="22" spans="1:14" ht="28.15" customHeight="1" x14ac:dyDescent="0.25">
      <c r="A22" s="141" t="s">
        <v>82</v>
      </c>
      <c r="B22" s="41" t="s">
        <v>315</v>
      </c>
      <c r="C22" s="11">
        <v>13223</v>
      </c>
      <c r="D22" s="11">
        <v>13322</v>
      </c>
      <c r="E22" s="11">
        <v>87</v>
      </c>
      <c r="F22" s="11">
        <v>87</v>
      </c>
      <c r="G22" s="6">
        <f t="shared" ref="G22:G27" si="3">D22+F22-C22-E22</f>
        <v>99</v>
      </c>
      <c r="H22" s="6">
        <f t="shared" si="1"/>
        <v>4.3159151985667368</v>
      </c>
      <c r="I22" s="6">
        <f>G22+H22</f>
        <v>103.31591519856674</v>
      </c>
      <c r="J22" s="38"/>
    </row>
    <row r="23" spans="1:14" ht="31.15" customHeight="1" x14ac:dyDescent="0.25">
      <c r="A23" s="144"/>
      <c r="B23" s="41" t="s">
        <v>327</v>
      </c>
      <c r="C23" s="11">
        <v>14106</v>
      </c>
      <c r="D23" s="11">
        <v>14231</v>
      </c>
      <c r="E23" s="11">
        <v>65</v>
      </c>
      <c r="F23" s="11">
        <v>65</v>
      </c>
      <c r="G23" s="6">
        <f t="shared" si="3"/>
        <v>125</v>
      </c>
      <c r="H23" s="6">
        <f t="shared" si="1"/>
        <v>5.4493878769782027</v>
      </c>
      <c r="I23" s="6">
        <f t="shared" si="2"/>
        <v>130.44938787697819</v>
      </c>
      <c r="J23" s="38"/>
    </row>
    <row r="24" spans="1:14" ht="31.15" customHeight="1" x14ac:dyDescent="0.25">
      <c r="A24" s="142"/>
      <c r="B24" s="41" t="s">
        <v>47</v>
      </c>
      <c r="C24" s="11">
        <v>12774</v>
      </c>
      <c r="D24" s="11">
        <v>12875</v>
      </c>
      <c r="E24" s="11"/>
      <c r="F24" s="11"/>
      <c r="G24" s="6">
        <f t="shared" si="3"/>
        <v>101</v>
      </c>
      <c r="H24" s="6">
        <f t="shared" si="1"/>
        <v>4.4031054045983877</v>
      </c>
      <c r="I24" s="6">
        <f t="shared" si="2"/>
        <v>105.40310540459839</v>
      </c>
      <c r="J24" s="38"/>
    </row>
    <row r="25" spans="1:14" ht="34.9" customHeight="1" x14ac:dyDescent="0.25">
      <c r="A25" s="141" t="s">
        <v>83</v>
      </c>
      <c r="B25" s="41" t="s">
        <v>48</v>
      </c>
      <c r="C25" s="11">
        <v>11709</v>
      </c>
      <c r="D25" s="11">
        <v>11807</v>
      </c>
      <c r="E25" s="12">
        <v>672</v>
      </c>
      <c r="F25" s="12">
        <v>683</v>
      </c>
      <c r="G25" s="6">
        <f t="shared" si="3"/>
        <v>109</v>
      </c>
      <c r="H25" s="6">
        <f t="shared" si="1"/>
        <v>4.7518662287249924</v>
      </c>
      <c r="I25" s="119">
        <f t="shared" si="2"/>
        <v>113.75186622872499</v>
      </c>
      <c r="J25" s="38"/>
    </row>
    <row r="26" spans="1:14" ht="28.9" customHeight="1" x14ac:dyDescent="0.25">
      <c r="A26" s="144"/>
      <c r="B26" s="41" t="s">
        <v>49</v>
      </c>
      <c r="C26" s="11">
        <v>26593</v>
      </c>
      <c r="D26" s="11">
        <v>26985</v>
      </c>
      <c r="E26" s="12">
        <v>19284</v>
      </c>
      <c r="F26" s="12">
        <v>19412</v>
      </c>
      <c r="G26" s="6">
        <f t="shared" si="3"/>
        <v>520</v>
      </c>
      <c r="H26" s="6">
        <f t="shared" si="1"/>
        <v>22.669453568229322</v>
      </c>
      <c r="I26" s="6">
        <f t="shared" si="2"/>
        <v>542.6694535682293</v>
      </c>
      <c r="J26" s="38"/>
    </row>
    <row r="27" spans="1:14" ht="31.9" customHeight="1" x14ac:dyDescent="0.25">
      <c r="A27" s="142"/>
      <c r="B27" s="41" t="s">
        <v>50</v>
      </c>
      <c r="C27" s="12">
        <v>12547</v>
      </c>
      <c r="D27" s="12">
        <v>12806</v>
      </c>
      <c r="E27" s="11"/>
      <c r="F27" s="11"/>
      <c r="G27" s="6">
        <f t="shared" si="3"/>
        <v>259</v>
      </c>
      <c r="H27" s="6">
        <f t="shared" si="1"/>
        <v>11.291131681098836</v>
      </c>
      <c r="I27" s="6">
        <f t="shared" si="2"/>
        <v>270.29113168109882</v>
      </c>
      <c r="J27" s="38"/>
    </row>
    <row r="28" spans="1:14" ht="24" customHeight="1" x14ac:dyDescent="0.25">
      <c r="A28" s="141" t="s">
        <v>84</v>
      </c>
      <c r="B28" s="41" t="s">
        <v>303</v>
      </c>
      <c r="C28" s="11">
        <v>10495</v>
      </c>
      <c r="D28" s="11">
        <v>10608</v>
      </c>
      <c r="E28" s="12">
        <v>423</v>
      </c>
      <c r="F28" s="12">
        <v>450</v>
      </c>
      <c r="G28" s="6">
        <f>D28+F28-C28-E28+(F29-E29)</f>
        <v>486</v>
      </c>
      <c r="H28" s="6">
        <f t="shared" si="1"/>
        <v>21.18722006569125</v>
      </c>
      <c r="I28" s="6">
        <f t="shared" si="2"/>
        <v>507.18722006569124</v>
      </c>
      <c r="J28" s="100"/>
      <c r="K28" s="101">
        <f>L28+N28</f>
        <v>28.177067781427294</v>
      </c>
      <c r="L28" s="101">
        <f>F28-E28</f>
        <v>27</v>
      </c>
      <c r="M28" s="21">
        <f>H153/G153</f>
        <v>4.3595103015825629E-2</v>
      </c>
      <c r="N28" s="101">
        <f>L28*M28</f>
        <v>1.1770677814272921</v>
      </c>
    </row>
    <row r="29" spans="1:14" ht="24" customHeight="1" x14ac:dyDescent="0.25">
      <c r="A29" s="144"/>
      <c r="B29" s="41" t="s">
        <v>304</v>
      </c>
      <c r="C29" s="11">
        <v>9551</v>
      </c>
      <c r="D29" s="11">
        <v>9779</v>
      </c>
      <c r="E29" s="12">
        <v>21807</v>
      </c>
      <c r="F29" s="12">
        <v>22153</v>
      </c>
      <c r="G29" s="6">
        <f>D29-C29</f>
        <v>228</v>
      </c>
      <c r="H29" s="6">
        <f t="shared" si="1"/>
        <v>9.9396834876082405</v>
      </c>
      <c r="I29" s="6">
        <f t="shared" si="2"/>
        <v>237.93968348760825</v>
      </c>
      <c r="J29" s="38"/>
      <c r="K29" s="101">
        <f>L29+N29</f>
        <v>361.08390564347565</v>
      </c>
      <c r="L29" s="101">
        <f>F29-E29</f>
        <v>346</v>
      </c>
      <c r="M29" s="21">
        <f>H153/G153</f>
        <v>4.3595103015825629E-2</v>
      </c>
      <c r="N29" s="101">
        <f>L29*M29</f>
        <v>15.083905643475667</v>
      </c>
    </row>
    <row r="30" spans="1:14" ht="24" customHeight="1" x14ac:dyDescent="0.25">
      <c r="A30" s="144"/>
      <c r="B30" s="41" t="s">
        <v>305</v>
      </c>
      <c r="C30" s="11">
        <v>10100</v>
      </c>
      <c r="D30" s="11">
        <v>10267</v>
      </c>
      <c r="E30" s="11"/>
      <c r="F30" s="11"/>
      <c r="G30" s="6">
        <f t="shared" ref="G30:G49" si="4">D30+F30-C30-E30</f>
        <v>167</v>
      </c>
      <c r="H30" s="6">
        <f t="shared" si="1"/>
        <v>7.2803822036428789</v>
      </c>
      <c r="I30" s="6">
        <f>G30+H30</f>
        <v>174.28038220364289</v>
      </c>
      <c r="J30" s="38"/>
      <c r="K30" s="101">
        <f>F30-E30</f>
        <v>0</v>
      </c>
    </row>
    <row r="31" spans="1:14" ht="24" customHeight="1" x14ac:dyDescent="0.25">
      <c r="A31" s="144"/>
      <c r="B31" s="41" t="s">
        <v>306</v>
      </c>
      <c r="C31" s="11">
        <v>18454</v>
      </c>
      <c r="D31" s="11">
        <v>18587</v>
      </c>
      <c r="E31" s="11"/>
      <c r="F31" s="11"/>
      <c r="G31" s="6">
        <f t="shared" si="4"/>
        <v>133</v>
      </c>
      <c r="H31" s="6">
        <f t="shared" si="1"/>
        <v>5.7981487011048074</v>
      </c>
      <c r="I31" s="6">
        <f t="shared" si="2"/>
        <v>138.79814870110482</v>
      </c>
      <c r="J31" s="38"/>
      <c r="K31" s="101">
        <f>F31-E31</f>
        <v>0</v>
      </c>
    </row>
    <row r="32" spans="1:14" ht="24" customHeight="1" x14ac:dyDescent="0.25">
      <c r="A32" s="142"/>
      <c r="B32" s="41" t="s">
        <v>51</v>
      </c>
      <c r="C32" s="11"/>
      <c r="D32" s="11"/>
      <c r="E32" s="11">
        <v>8041</v>
      </c>
      <c r="F32" s="11">
        <v>8149</v>
      </c>
      <c r="G32" s="6">
        <f t="shared" si="4"/>
        <v>108</v>
      </c>
      <c r="H32" s="128">
        <f t="shared" si="1"/>
        <v>4.7082711257091665</v>
      </c>
      <c r="I32" s="6">
        <f t="shared" si="2"/>
        <v>112.70827112570916</v>
      </c>
      <c r="J32" s="38"/>
      <c r="K32" s="101">
        <f>I32</f>
        <v>112.70827112570916</v>
      </c>
    </row>
    <row r="33" spans="1:11" s="43" customFormat="1" ht="24" customHeight="1" x14ac:dyDescent="0.25">
      <c r="A33" s="145" t="s">
        <v>85</v>
      </c>
      <c r="B33" s="41" t="s">
        <v>325</v>
      </c>
      <c r="C33" s="11">
        <v>20577</v>
      </c>
      <c r="D33" s="11">
        <v>20762</v>
      </c>
      <c r="E33" s="11">
        <v>1306</v>
      </c>
      <c r="F33" s="11">
        <v>1322</v>
      </c>
      <c r="G33" s="13">
        <f t="shared" si="4"/>
        <v>201</v>
      </c>
      <c r="H33" s="6">
        <f t="shared" si="1"/>
        <v>8.7626157061809486</v>
      </c>
      <c r="I33" s="13">
        <f t="shared" si="2"/>
        <v>209.76261570618095</v>
      </c>
      <c r="J33" s="42"/>
      <c r="K33" s="102">
        <f>SUM(K28:K32)</f>
        <v>501.96924455061207</v>
      </c>
    </row>
    <row r="34" spans="1:11" s="43" customFormat="1" ht="21.6" customHeight="1" x14ac:dyDescent="0.25">
      <c r="A34" s="146"/>
      <c r="B34" s="41" t="s">
        <v>264</v>
      </c>
      <c r="C34" s="11">
        <v>8401</v>
      </c>
      <c r="D34" s="11">
        <v>8484</v>
      </c>
      <c r="E34" s="11"/>
      <c r="F34" s="11"/>
      <c r="G34" s="13">
        <f t="shared" si="4"/>
        <v>83</v>
      </c>
      <c r="H34" s="6">
        <f t="shared" si="1"/>
        <v>3.6183935503135265</v>
      </c>
      <c r="I34" s="13">
        <f t="shared" si="2"/>
        <v>86.618393550313527</v>
      </c>
      <c r="J34" s="42"/>
    </row>
    <row r="35" spans="1:11" ht="27" customHeight="1" x14ac:dyDescent="0.25">
      <c r="A35" s="141" t="s">
        <v>86</v>
      </c>
      <c r="B35" s="41" t="s">
        <v>301</v>
      </c>
      <c r="C35" s="11">
        <v>17220</v>
      </c>
      <c r="D35" s="11">
        <v>17428</v>
      </c>
      <c r="E35" s="11">
        <v>808</v>
      </c>
      <c r="F35" s="11">
        <v>827</v>
      </c>
      <c r="G35" s="6">
        <f t="shared" si="4"/>
        <v>227</v>
      </c>
      <c r="H35" s="6">
        <f t="shared" si="1"/>
        <v>9.8960883845924155</v>
      </c>
      <c r="I35" s="6">
        <f t="shared" si="2"/>
        <v>236.89608838459242</v>
      </c>
      <c r="J35" s="38"/>
    </row>
    <row r="36" spans="1:11" ht="31.15" customHeight="1" x14ac:dyDescent="0.25">
      <c r="A36" s="142"/>
      <c r="B36" s="41" t="s">
        <v>300</v>
      </c>
      <c r="C36" s="11">
        <v>6387</v>
      </c>
      <c r="D36" s="11">
        <v>6466</v>
      </c>
      <c r="E36" s="11"/>
      <c r="F36" s="11"/>
      <c r="G36" s="6">
        <f t="shared" si="4"/>
        <v>79</v>
      </c>
      <c r="H36" s="6">
        <f t="shared" si="1"/>
        <v>3.4440131382502241</v>
      </c>
      <c r="I36" s="6">
        <f t="shared" si="2"/>
        <v>82.444013138250227</v>
      </c>
      <c r="J36" s="38"/>
    </row>
    <row r="37" spans="1:11" ht="34.9" customHeight="1" x14ac:dyDescent="0.25">
      <c r="A37" s="141" t="s">
        <v>87</v>
      </c>
      <c r="B37" s="41" t="s">
        <v>53</v>
      </c>
      <c r="C37" s="11">
        <v>18984</v>
      </c>
      <c r="D37" s="11">
        <v>19205</v>
      </c>
      <c r="E37" s="11">
        <v>1182</v>
      </c>
      <c r="F37" s="11">
        <v>1195</v>
      </c>
      <c r="G37" s="6">
        <f t="shared" si="4"/>
        <v>234</v>
      </c>
      <c r="H37" s="6">
        <f t="shared" si="1"/>
        <v>10.201254105703194</v>
      </c>
      <c r="I37" s="6">
        <f t="shared" si="2"/>
        <v>244.20125410570319</v>
      </c>
      <c r="J37" s="38"/>
    </row>
    <row r="38" spans="1:11" ht="27" customHeight="1" x14ac:dyDescent="0.25">
      <c r="A38" s="142"/>
      <c r="B38" s="41" t="s">
        <v>54</v>
      </c>
      <c r="C38" s="11">
        <v>1931</v>
      </c>
      <c r="D38" s="11">
        <v>2015</v>
      </c>
      <c r="E38" s="11"/>
      <c r="F38" s="11"/>
      <c r="G38" s="6">
        <f t="shared" si="4"/>
        <v>84</v>
      </c>
      <c r="H38" s="6">
        <f t="shared" si="1"/>
        <v>3.661988653329352</v>
      </c>
      <c r="I38" s="6">
        <f t="shared" si="2"/>
        <v>87.661988653329345</v>
      </c>
      <c r="J38" s="38"/>
    </row>
    <row r="39" spans="1:11" ht="47.45" customHeight="1" x14ac:dyDescent="0.25">
      <c r="A39" s="141" t="s">
        <v>88</v>
      </c>
      <c r="B39" s="41" t="s">
        <v>55</v>
      </c>
      <c r="C39" s="11">
        <v>25368</v>
      </c>
      <c r="D39" s="11">
        <v>25483</v>
      </c>
      <c r="E39" s="11">
        <v>1209</v>
      </c>
      <c r="F39" s="11">
        <v>1222</v>
      </c>
      <c r="G39" s="6">
        <f t="shared" si="4"/>
        <v>128</v>
      </c>
      <c r="H39" s="6">
        <f t="shared" si="1"/>
        <v>5.5801731860256796</v>
      </c>
      <c r="I39" s="6">
        <f t="shared" si="2"/>
        <v>133.58017318602569</v>
      </c>
      <c r="J39" s="38"/>
    </row>
    <row r="40" spans="1:11" ht="24" customHeight="1" x14ac:dyDescent="0.25">
      <c r="A40" s="142"/>
      <c r="B40" s="41" t="s">
        <v>56</v>
      </c>
      <c r="C40" s="11">
        <v>12447</v>
      </c>
      <c r="D40" s="11">
        <v>12668</v>
      </c>
      <c r="E40" s="11"/>
      <c r="F40" s="11"/>
      <c r="G40" s="6">
        <f t="shared" si="4"/>
        <v>221</v>
      </c>
      <c r="H40" s="6">
        <f t="shared" si="1"/>
        <v>9.6345177664974617</v>
      </c>
      <c r="I40" s="6">
        <f t="shared" si="2"/>
        <v>230.63451776649745</v>
      </c>
      <c r="J40" s="38"/>
    </row>
    <row r="41" spans="1:11" ht="27.6" customHeight="1" x14ac:dyDescent="0.25">
      <c r="A41" s="141" t="s">
        <v>89</v>
      </c>
      <c r="B41" s="41" t="s">
        <v>232</v>
      </c>
      <c r="C41" s="11">
        <v>23538</v>
      </c>
      <c r="D41" s="11">
        <v>23624</v>
      </c>
      <c r="E41" s="11">
        <v>1005</v>
      </c>
      <c r="F41" s="11">
        <v>1014</v>
      </c>
      <c r="G41" s="6">
        <f t="shared" si="4"/>
        <v>95</v>
      </c>
      <c r="H41" s="6">
        <f t="shared" si="1"/>
        <v>4.141534786503434</v>
      </c>
      <c r="I41" s="6">
        <f t="shared" si="2"/>
        <v>99.141534786503428</v>
      </c>
      <c r="J41" s="38"/>
    </row>
    <row r="42" spans="1:11" ht="27.6" customHeight="1" x14ac:dyDescent="0.25">
      <c r="A42" s="144"/>
      <c r="B42" s="41" t="s">
        <v>289</v>
      </c>
      <c r="C42" s="11">
        <v>4704</v>
      </c>
      <c r="D42" s="11">
        <v>5057</v>
      </c>
      <c r="E42" s="11"/>
      <c r="F42" s="11"/>
      <c r="G42" s="6">
        <f t="shared" si="4"/>
        <v>353</v>
      </c>
      <c r="H42" s="6">
        <f t="shared" si="1"/>
        <v>15.389071364586444</v>
      </c>
      <c r="I42" s="6">
        <f t="shared" si="2"/>
        <v>368.38907136458647</v>
      </c>
      <c r="J42" s="38"/>
    </row>
    <row r="43" spans="1:11" ht="20.45" customHeight="1" x14ac:dyDescent="0.25">
      <c r="A43" s="142"/>
      <c r="B43" s="41" t="s">
        <v>57</v>
      </c>
      <c r="C43" s="11">
        <v>13422</v>
      </c>
      <c r="D43" s="11">
        <v>13740</v>
      </c>
      <c r="E43" s="11"/>
      <c r="F43" s="11"/>
      <c r="G43" s="6">
        <f t="shared" si="4"/>
        <v>318</v>
      </c>
      <c r="H43" s="6">
        <f t="shared" si="1"/>
        <v>13.863242759032547</v>
      </c>
      <c r="I43" s="6">
        <f t="shared" si="2"/>
        <v>331.86324275903257</v>
      </c>
      <c r="J43" s="38"/>
    </row>
    <row r="44" spans="1:11" x14ac:dyDescent="0.25">
      <c r="A44" s="141" t="s">
        <v>90</v>
      </c>
      <c r="B44" s="41" t="s">
        <v>64</v>
      </c>
      <c r="C44" s="11">
        <v>19518</v>
      </c>
      <c r="D44" s="11">
        <v>19849</v>
      </c>
      <c r="E44" s="11">
        <v>3909</v>
      </c>
      <c r="F44" s="11">
        <v>3946</v>
      </c>
      <c r="G44" s="6">
        <f t="shared" si="4"/>
        <v>368</v>
      </c>
      <c r="H44" s="6">
        <f t="shared" si="1"/>
        <v>16.042997909823828</v>
      </c>
      <c r="I44" s="6">
        <f t="shared" ref="I44:I49" si="5">G44+H44</f>
        <v>384.04299790982384</v>
      </c>
      <c r="J44" s="38"/>
    </row>
    <row r="45" spans="1:11" x14ac:dyDescent="0.25">
      <c r="A45" s="144"/>
      <c r="B45" s="41" t="s">
        <v>65</v>
      </c>
      <c r="C45" s="11">
        <v>11763</v>
      </c>
      <c r="D45" s="11">
        <v>11993</v>
      </c>
      <c r="E45" s="11">
        <v>5584</v>
      </c>
      <c r="F45" s="11">
        <v>5608</v>
      </c>
      <c r="G45" s="6">
        <f t="shared" si="4"/>
        <v>254</v>
      </c>
      <c r="H45" s="6">
        <f t="shared" si="1"/>
        <v>11.073156166019707</v>
      </c>
      <c r="I45" s="6">
        <f t="shared" si="5"/>
        <v>265.07315616601971</v>
      </c>
      <c r="J45" s="38"/>
    </row>
    <row r="46" spans="1:11" x14ac:dyDescent="0.25">
      <c r="A46" s="144"/>
      <c r="B46" s="41" t="s">
        <v>265</v>
      </c>
      <c r="C46" s="11">
        <v>7778</v>
      </c>
      <c r="D46" s="11">
        <v>8210</v>
      </c>
      <c r="E46" s="11">
        <v>8924</v>
      </c>
      <c r="F46" s="11">
        <v>9035</v>
      </c>
      <c r="G46" s="6">
        <f t="shared" si="4"/>
        <v>543</v>
      </c>
      <c r="H46" s="6">
        <f t="shared" si="1"/>
        <v>23.672140937593312</v>
      </c>
      <c r="I46" s="6">
        <f t="shared" si="5"/>
        <v>566.67214093759333</v>
      </c>
      <c r="J46" s="38"/>
    </row>
    <row r="47" spans="1:11" x14ac:dyDescent="0.25">
      <c r="A47" s="142"/>
      <c r="B47" s="44" t="s">
        <v>66</v>
      </c>
      <c r="C47" s="12">
        <v>18618</v>
      </c>
      <c r="D47" s="12">
        <v>18797</v>
      </c>
      <c r="E47" s="12"/>
      <c r="F47" s="12"/>
      <c r="G47" s="6">
        <f t="shared" si="4"/>
        <v>179</v>
      </c>
      <c r="H47" s="6">
        <f t="shared" ref="H47:H78" si="6">G47*$D$157/$G$153</f>
        <v>7.8035234398327855</v>
      </c>
      <c r="I47" s="6">
        <f t="shared" si="5"/>
        <v>186.80352343983279</v>
      </c>
      <c r="J47" s="38"/>
    </row>
    <row r="48" spans="1:11" ht="25.9" customHeight="1" x14ac:dyDescent="0.25">
      <c r="A48" s="141" t="s">
        <v>91</v>
      </c>
      <c r="B48" s="41" t="s">
        <v>67</v>
      </c>
      <c r="C48" s="11">
        <v>9213</v>
      </c>
      <c r="D48" s="11">
        <v>9298</v>
      </c>
      <c r="E48" s="11">
        <v>668</v>
      </c>
      <c r="F48" s="11">
        <v>671</v>
      </c>
      <c r="G48" s="6">
        <f t="shared" si="4"/>
        <v>88</v>
      </c>
      <c r="H48" s="6">
        <f t="shared" si="6"/>
        <v>3.8363690653926543</v>
      </c>
      <c r="I48" s="6">
        <f t="shared" si="5"/>
        <v>91.83636906539266</v>
      </c>
      <c r="J48" s="38"/>
    </row>
    <row r="49" spans="1:10" ht="22.9" customHeight="1" x14ac:dyDescent="0.25">
      <c r="A49" s="142"/>
      <c r="B49" s="41" t="s">
        <v>68</v>
      </c>
      <c r="C49" s="11">
        <v>12333</v>
      </c>
      <c r="D49" s="11">
        <v>12440</v>
      </c>
      <c r="E49" s="11"/>
      <c r="F49" s="11"/>
      <c r="G49" s="6">
        <f t="shared" si="4"/>
        <v>107</v>
      </c>
      <c r="H49" s="6">
        <f t="shared" si="6"/>
        <v>4.6646760226933415</v>
      </c>
      <c r="I49" s="6">
        <f t="shared" si="5"/>
        <v>111.66467602269334</v>
      </c>
      <c r="J49" s="38"/>
    </row>
    <row r="50" spans="1:10" x14ac:dyDescent="0.25">
      <c r="A50" s="45"/>
      <c r="B50" s="41" t="s">
        <v>58</v>
      </c>
      <c r="C50" s="11">
        <v>14892</v>
      </c>
      <c r="D50" s="11">
        <v>14987</v>
      </c>
      <c r="E50" s="11">
        <v>2564</v>
      </c>
      <c r="F50" s="11">
        <v>2584</v>
      </c>
      <c r="G50" s="6">
        <f>D50+F50-C50-E50+10</f>
        <v>125</v>
      </c>
      <c r="H50" s="6">
        <f t="shared" si="6"/>
        <v>5.4493878769782027</v>
      </c>
      <c r="I50" s="6">
        <f t="shared" si="2"/>
        <v>130.44938787697819</v>
      </c>
      <c r="J50" s="38"/>
    </row>
    <row r="51" spans="1:10" ht="19.149999999999999" customHeight="1" x14ac:dyDescent="0.25">
      <c r="A51" s="45"/>
      <c r="B51" s="41" t="s">
        <v>59</v>
      </c>
      <c r="C51" s="11">
        <v>14798</v>
      </c>
      <c r="D51" s="11">
        <v>14848</v>
      </c>
      <c r="E51" s="11">
        <v>849</v>
      </c>
      <c r="F51" s="11">
        <v>857</v>
      </c>
      <c r="G51" s="6">
        <f t="shared" ref="G51:G56" si="7">D51+F51-C51-E51</f>
        <v>58</v>
      </c>
      <c r="H51" s="6">
        <f t="shared" si="6"/>
        <v>2.528515974917886</v>
      </c>
      <c r="I51" s="6">
        <f t="shared" si="2"/>
        <v>60.528515974917887</v>
      </c>
      <c r="J51" s="38"/>
    </row>
    <row r="52" spans="1:10" x14ac:dyDescent="0.25">
      <c r="A52" s="46"/>
      <c r="B52" s="41" t="s">
        <v>60</v>
      </c>
      <c r="C52" s="11">
        <v>9327</v>
      </c>
      <c r="D52" s="11">
        <v>9358</v>
      </c>
      <c r="E52" s="11">
        <v>2094</v>
      </c>
      <c r="F52" s="11">
        <v>2109</v>
      </c>
      <c r="G52" s="6">
        <f t="shared" si="7"/>
        <v>46</v>
      </c>
      <c r="H52" s="6">
        <f t="shared" si="6"/>
        <v>2.0053747387279786</v>
      </c>
      <c r="I52" s="6">
        <f t="shared" si="2"/>
        <v>48.00537473872798</v>
      </c>
      <c r="J52" s="38"/>
    </row>
    <row r="53" spans="1:10" x14ac:dyDescent="0.25">
      <c r="A53" s="141" t="s">
        <v>61</v>
      </c>
      <c r="B53" s="41" t="s">
        <v>36</v>
      </c>
      <c r="C53" s="11">
        <v>76676</v>
      </c>
      <c r="D53" s="11">
        <v>76877</v>
      </c>
      <c r="E53" s="11"/>
      <c r="F53" s="11"/>
      <c r="G53" s="6">
        <f t="shared" si="7"/>
        <v>201</v>
      </c>
      <c r="H53" s="6">
        <f t="shared" si="6"/>
        <v>8.7626157061809486</v>
      </c>
      <c r="I53" s="6">
        <f t="shared" si="2"/>
        <v>209.76261570618095</v>
      </c>
      <c r="J53" s="38"/>
    </row>
    <row r="54" spans="1:10" x14ac:dyDescent="0.25">
      <c r="A54" s="144"/>
      <c r="B54" s="41" t="s">
        <v>62</v>
      </c>
      <c r="C54" s="11">
        <v>27058</v>
      </c>
      <c r="D54" s="11">
        <v>27217</v>
      </c>
      <c r="E54" s="11"/>
      <c r="F54" s="11"/>
      <c r="G54" s="6">
        <f t="shared" si="7"/>
        <v>159</v>
      </c>
      <c r="H54" s="6">
        <f t="shared" si="6"/>
        <v>6.9316213795162733</v>
      </c>
      <c r="I54" s="6">
        <f t="shared" si="2"/>
        <v>165.93162137951629</v>
      </c>
      <c r="J54" s="38"/>
    </row>
    <row r="55" spans="1:10" x14ac:dyDescent="0.25">
      <c r="A55" s="144"/>
      <c r="B55" s="41" t="s">
        <v>285</v>
      </c>
      <c r="C55" s="11">
        <v>2582</v>
      </c>
      <c r="D55" s="11">
        <v>2585</v>
      </c>
      <c r="E55" s="11"/>
      <c r="F55" s="11"/>
      <c r="G55" s="6">
        <f t="shared" si="7"/>
        <v>3</v>
      </c>
      <c r="H55" s="6">
        <f t="shared" si="6"/>
        <v>0.13078530904747687</v>
      </c>
      <c r="I55" s="6">
        <f t="shared" si="2"/>
        <v>3.1307853090474769</v>
      </c>
      <c r="J55" s="38"/>
    </row>
    <row r="56" spans="1:10" x14ac:dyDescent="0.25">
      <c r="A56" s="142"/>
      <c r="B56" s="41" t="s">
        <v>63</v>
      </c>
      <c r="C56" s="11">
        <v>20227</v>
      </c>
      <c r="D56" s="11">
        <v>20508</v>
      </c>
      <c r="E56" s="11"/>
      <c r="F56" s="11"/>
      <c r="G56" s="6">
        <f t="shared" si="7"/>
        <v>281</v>
      </c>
      <c r="H56" s="6">
        <f t="shared" si="6"/>
        <v>12.250223947446999</v>
      </c>
      <c r="I56" s="6">
        <f t="shared" si="2"/>
        <v>293.25022394744701</v>
      </c>
      <c r="J56" s="38"/>
    </row>
    <row r="57" spans="1:10" x14ac:dyDescent="0.25">
      <c r="A57" s="47"/>
      <c r="B57" s="41"/>
      <c r="C57" s="11"/>
      <c r="D57" s="11"/>
      <c r="E57" s="11"/>
      <c r="F57" s="11"/>
      <c r="G57" s="6"/>
      <c r="H57" s="6">
        <f t="shared" si="6"/>
        <v>0</v>
      </c>
      <c r="I57" s="6"/>
      <c r="J57" s="38"/>
    </row>
    <row r="58" spans="1:10" ht="21" customHeight="1" x14ac:dyDescent="0.25">
      <c r="A58" s="147" t="s">
        <v>104</v>
      </c>
      <c r="B58" s="48" t="s">
        <v>93</v>
      </c>
      <c r="C58" s="14">
        <v>14387</v>
      </c>
      <c r="D58" s="14">
        <v>14492</v>
      </c>
      <c r="E58" s="15">
        <v>273</v>
      </c>
      <c r="F58" s="15">
        <v>274</v>
      </c>
      <c r="G58" s="6">
        <f t="shared" ref="G58:G75" si="8">D58+F58-C58-E58</f>
        <v>106</v>
      </c>
      <c r="H58" s="6">
        <f t="shared" si="6"/>
        <v>4.6210809196775156</v>
      </c>
      <c r="I58" s="6">
        <f t="shared" si="2"/>
        <v>110.62108091967751</v>
      </c>
      <c r="J58" s="38"/>
    </row>
    <row r="59" spans="1:10" ht="19.899999999999999" customHeight="1" x14ac:dyDescent="0.25">
      <c r="A59" s="147"/>
      <c r="B59" s="48" t="s">
        <v>94</v>
      </c>
      <c r="C59" s="14">
        <v>15254</v>
      </c>
      <c r="D59" s="14">
        <v>15380</v>
      </c>
      <c r="E59" s="15">
        <v>128</v>
      </c>
      <c r="F59" s="15">
        <v>137</v>
      </c>
      <c r="G59" s="6">
        <f t="shared" si="8"/>
        <v>135</v>
      </c>
      <c r="H59" s="6">
        <f t="shared" si="6"/>
        <v>5.8853389071364584</v>
      </c>
      <c r="I59" s="6">
        <f t="shared" si="2"/>
        <v>140.88533890713646</v>
      </c>
      <c r="J59" s="38"/>
    </row>
    <row r="60" spans="1:10" ht="19.899999999999999" customHeight="1" x14ac:dyDescent="0.25">
      <c r="A60" s="147"/>
      <c r="B60" s="48" t="s">
        <v>95</v>
      </c>
      <c r="C60" s="14">
        <v>18622</v>
      </c>
      <c r="D60" s="14">
        <v>18978</v>
      </c>
      <c r="E60" s="15"/>
      <c r="F60" s="15"/>
      <c r="G60" s="6">
        <f t="shared" si="8"/>
        <v>356</v>
      </c>
      <c r="H60" s="6">
        <f t="shared" si="6"/>
        <v>15.519856673633921</v>
      </c>
      <c r="I60" s="6">
        <f t="shared" si="2"/>
        <v>371.51985667363391</v>
      </c>
      <c r="J60" s="38"/>
    </row>
    <row r="61" spans="1:10" x14ac:dyDescent="0.25">
      <c r="A61" s="147"/>
      <c r="B61" s="48" t="s">
        <v>96</v>
      </c>
      <c r="C61" s="14">
        <v>17801</v>
      </c>
      <c r="D61" s="14">
        <v>18067</v>
      </c>
      <c r="E61" s="15">
        <v>843</v>
      </c>
      <c r="F61" s="15">
        <v>863</v>
      </c>
      <c r="G61" s="6">
        <f t="shared" si="8"/>
        <v>286</v>
      </c>
      <c r="H61" s="6">
        <f t="shared" si="6"/>
        <v>12.468199462526128</v>
      </c>
      <c r="I61" s="6">
        <f t="shared" si="2"/>
        <v>298.46819946252612</v>
      </c>
      <c r="J61" s="38"/>
    </row>
    <row r="62" spans="1:10" ht="27" customHeight="1" x14ac:dyDescent="0.25">
      <c r="A62" s="89" t="s">
        <v>272</v>
      </c>
      <c r="B62" s="48" t="s">
        <v>326</v>
      </c>
      <c r="C62" s="14">
        <v>20903</v>
      </c>
      <c r="D62" s="14">
        <v>21109</v>
      </c>
      <c r="E62" s="14">
        <v>1604</v>
      </c>
      <c r="F62" s="14">
        <v>1613</v>
      </c>
      <c r="G62" s="6">
        <f t="shared" si="8"/>
        <v>215</v>
      </c>
      <c r="H62" s="6">
        <f t="shared" si="6"/>
        <v>9.372947148402508</v>
      </c>
      <c r="I62" s="6">
        <f t="shared" si="2"/>
        <v>224.37294714840252</v>
      </c>
      <c r="J62" s="38"/>
    </row>
    <row r="63" spans="1:10" ht="26.45" customHeight="1" x14ac:dyDescent="0.25">
      <c r="A63" s="147" t="s">
        <v>105</v>
      </c>
      <c r="B63" s="48" t="s">
        <v>317</v>
      </c>
      <c r="C63" s="50">
        <v>15645</v>
      </c>
      <c r="D63" s="50">
        <v>15832</v>
      </c>
      <c r="E63" s="14">
        <v>247</v>
      </c>
      <c r="F63" s="14">
        <v>248</v>
      </c>
      <c r="G63" s="6">
        <f t="shared" si="8"/>
        <v>188</v>
      </c>
      <c r="H63" s="6">
        <f t="shared" si="6"/>
        <v>8.1958793669752161</v>
      </c>
      <c r="I63" s="6">
        <f t="shared" si="2"/>
        <v>196.19587936697522</v>
      </c>
      <c r="J63" s="38"/>
    </row>
    <row r="64" spans="1:10" x14ac:dyDescent="0.25">
      <c r="A64" s="147"/>
      <c r="B64" s="48" t="s">
        <v>97</v>
      </c>
      <c r="C64" s="50">
        <v>13168</v>
      </c>
      <c r="D64" s="50">
        <v>13270</v>
      </c>
      <c r="E64" s="14">
        <v>11956</v>
      </c>
      <c r="F64" s="14">
        <v>12112</v>
      </c>
      <c r="G64" s="6">
        <f t="shared" si="8"/>
        <v>258</v>
      </c>
      <c r="H64" s="6">
        <f t="shared" si="6"/>
        <v>11.247536578083009</v>
      </c>
      <c r="I64" s="6">
        <f t="shared" si="2"/>
        <v>269.24753657808299</v>
      </c>
      <c r="J64" s="38"/>
    </row>
    <row r="65" spans="1:11" ht="29.45" customHeight="1" x14ac:dyDescent="0.25">
      <c r="A65" s="147" t="s">
        <v>106</v>
      </c>
      <c r="B65" s="48" t="s">
        <v>328</v>
      </c>
      <c r="C65" s="50">
        <v>15245</v>
      </c>
      <c r="D65" s="50">
        <v>15295</v>
      </c>
      <c r="E65" s="14">
        <v>818</v>
      </c>
      <c r="F65" s="14">
        <v>829</v>
      </c>
      <c r="G65" s="6">
        <f t="shared" si="8"/>
        <v>61</v>
      </c>
      <c r="H65" s="6">
        <f t="shared" si="6"/>
        <v>2.6593012839653629</v>
      </c>
      <c r="I65" s="6">
        <f t="shared" si="2"/>
        <v>63.659301283965362</v>
      </c>
      <c r="J65" s="38"/>
    </row>
    <row r="66" spans="1:11" ht="30" customHeight="1" x14ac:dyDescent="0.25">
      <c r="A66" s="147"/>
      <c r="B66" s="48" t="s">
        <v>329</v>
      </c>
      <c r="C66" s="50">
        <v>7640</v>
      </c>
      <c r="D66" s="50">
        <v>7712</v>
      </c>
      <c r="E66" s="14"/>
      <c r="F66" s="14"/>
      <c r="G66" s="6">
        <f t="shared" si="8"/>
        <v>72</v>
      </c>
      <c r="H66" s="6">
        <f t="shared" si="6"/>
        <v>3.1388474171394445</v>
      </c>
      <c r="I66" s="6">
        <f t="shared" si="2"/>
        <v>75.138847417139445</v>
      </c>
      <c r="J66" s="38"/>
    </row>
    <row r="67" spans="1:11" x14ac:dyDescent="0.25">
      <c r="A67" s="147" t="s">
        <v>107</v>
      </c>
      <c r="B67" s="48" t="s">
        <v>99</v>
      </c>
      <c r="C67" s="14">
        <v>12838</v>
      </c>
      <c r="D67" s="14">
        <v>12955</v>
      </c>
      <c r="E67" s="14">
        <v>2590</v>
      </c>
      <c r="F67" s="14">
        <v>2599</v>
      </c>
      <c r="G67" s="6">
        <f t="shared" si="8"/>
        <v>126</v>
      </c>
      <c r="H67" s="6">
        <f t="shared" si="6"/>
        <v>5.4929829799940277</v>
      </c>
      <c r="I67" s="6">
        <f t="shared" si="2"/>
        <v>131.49298297999403</v>
      </c>
      <c r="J67" s="38"/>
    </row>
    <row r="68" spans="1:11" x14ac:dyDescent="0.25">
      <c r="A68" s="147"/>
      <c r="B68" s="48" t="s">
        <v>100</v>
      </c>
      <c r="C68" s="14"/>
      <c r="D68" s="14"/>
      <c r="E68" s="14">
        <v>3518</v>
      </c>
      <c r="F68" s="14">
        <v>3534</v>
      </c>
      <c r="G68" s="6">
        <f t="shared" si="8"/>
        <v>16</v>
      </c>
      <c r="H68" s="6">
        <f t="shared" si="6"/>
        <v>0.69752164825320995</v>
      </c>
      <c r="I68" s="6">
        <f t="shared" si="2"/>
        <v>16.697521648253211</v>
      </c>
      <c r="J68" s="38"/>
    </row>
    <row r="69" spans="1:11" x14ac:dyDescent="0.25">
      <c r="A69" s="147"/>
      <c r="B69" s="48" t="s">
        <v>101</v>
      </c>
      <c r="C69" s="50">
        <v>10357</v>
      </c>
      <c r="D69" s="50">
        <v>10507</v>
      </c>
      <c r="E69" s="14">
        <v>829</v>
      </c>
      <c r="F69" s="14">
        <v>846</v>
      </c>
      <c r="G69" s="6">
        <f t="shared" si="8"/>
        <v>167</v>
      </c>
      <c r="H69" s="6">
        <f t="shared" si="6"/>
        <v>7.2803822036428789</v>
      </c>
      <c r="I69" s="6">
        <f t="shared" si="2"/>
        <v>174.28038220364289</v>
      </c>
      <c r="J69" s="38"/>
    </row>
    <row r="70" spans="1:11" ht="33" customHeight="1" x14ac:dyDescent="0.25">
      <c r="A70" s="147" t="s">
        <v>109</v>
      </c>
      <c r="B70" s="48" t="s">
        <v>102</v>
      </c>
      <c r="C70" s="50">
        <v>12688</v>
      </c>
      <c r="D70" s="50">
        <v>12800</v>
      </c>
      <c r="E70" s="14">
        <v>2522</v>
      </c>
      <c r="F70" s="14">
        <v>2532</v>
      </c>
      <c r="G70" s="6">
        <f t="shared" si="8"/>
        <v>122</v>
      </c>
      <c r="H70" s="6">
        <f t="shared" si="6"/>
        <v>5.3186025679307258</v>
      </c>
      <c r="I70" s="6">
        <f>G70+H70</f>
        <v>127.31860256793072</v>
      </c>
      <c r="J70" s="38"/>
    </row>
    <row r="71" spans="1:11" ht="22.5" customHeight="1" x14ac:dyDescent="0.25">
      <c r="A71" s="147"/>
      <c r="B71" s="48" t="s">
        <v>290</v>
      </c>
      <c r="C71" s="50">
        <v>22324</v>
      </c>
      <c r="D71" s="50">
        <v>22395</v>
      </c>
      <c r="E71" s="14"/>
      <c r="F71" s="14"/>
      <c r="G71" s="6">
        <f t="shared" si="8"/>
        <v>71</v>
      </c>
      <c r="H71" s="6">
        <f t="shared" si="6"/>
        <v>3.095252314123619</v>
      </c>
      <c r="I71" s="6">
        <f t="shared" ref="I71:I72" si="9">G71+H71</f>
        <v>74.095252314123613</v>
      </c>
      <c r="J71" s="38"/>
    </row>
    <row r="72" spans="1:11" ht="18.75" customHeight="1" x14ac:dyDescent="0.25">
      <c r="A72" s="147"/>
      <c r="B72" s="48" t="s">
        <v>291</v>
      </c>
      <c r="C72" s="50">
        <v>609</v>
      </c>
      <c r="D72" s="50">
        <v>614</v>
      </c>
      <c r="E72" s="14"/>
      <c r="F72" s="14"/>
      <c r="G72" s="6">
        <f t="shared" si="8"/>
        <v>5</v>
      </c>
      <c r="H72" s="6">
        <f t="shared" si="6"/>
        <v>0.2179755150791281</v>
      </c>
      <c r="I72" s="6">
        <f t="shared" si="9"/>
        <v>5.2179755150791278</v>
      </c>
      <c r="J72" s="38"/>
    </row>
    <row r="73" spans="1:11" ht="26.45" customHeight="1" x14ac:dyDescent="0.25">
      <c r="A73" s="147"/>
      <c r="B73" s="48" t="s">
        <v>103</v>
      </c>
      <c r="C73" s="50">
        <v>9962</v>
      </c>
      <c r="D73" s="50">
        <v>10067</v>
      </c>
      <c r="E73" s="14">
        <v>3773</v>
      </c>
      <c r="F73" s="14">
        <v>3822</v>
      </c>
      <c r="G73" s="6">
        <f t="shared" si="8"/>
        <v>154</v>
      </c>
      <c r="H73" s="6">
        <f t="shared" si="6"/>
        <v>6.7136458644371455</v>
      </c>
      <c r="I73" s="6">
        <f>G73+H73</f>
        <v>160.71364586443715</v>
      </c>
      <c r="J73" s="38"/>
    </row>
    <row r="74" spans="1:11" ht="25.15" customHeight="1" x14ac:dyDescent="0.25">
      <c r="A74" s="46"/>
      <c r="B74" s="48" t="s">
        <v>108</v>
      </c>
      <c r="C74" s="14">
        <v>14360</v>
      </c>
      <c r="D74" s="14">
        <v>14480</v>
      </c>
      <c r="E74" s="15"/>
      <c r="F74" s="15"/>
      <c r="G74" s="6">
        <f t="shared" si="8"/>
        <v>120</v>
      </c>
      <c r="H74" s="6">
        <f t="shared" si="6"/>
        <v>5.231412361899074</v>
      </c>
      <c r="I74" s="6">
        <f t="shared" si="2"/>
        <v>125.23141236189907</v>
      </c>
      <c r="J74" s="38"/>
    </row>
    <row r="75" spans="1:11" ht="22.15" customHeight="1" x14ac:dyDescent="0.25">
      <c r="A75" s="46"/>
      <c r="B75" s="48" t="s">
        <v>267</v>
      </c>
      <c r="C75" s="50">
        <v>9775</v>
      </c>
      <c r="D75" s="50">
        <v>9908</v>
      </c>
      <c r="E75" s="14">
        <v>1302</v>
      </c>
      <c r="F75" s="14">
        <v>1329</v>
      </c>
      <c r="G75" s="6">
        <f t="shared" si="8"/>
        <v>160</v>
      </c>
      <c r="H75" s="6">
        <f t="shared" si="6"/>
        <v>6.9752164825320992</v>
      </c>
      <c r="I75" s="6">
        <f t="shared" si="2"/>
        <v>166.97521648253209</v>
      </c>
      <c r="J75" s="38"/>
    </row>
    <row r="76" spans="1:11" x14ac:dyDescent="0.25">
      <c r="A76" s="46"/>
      <c r="B76" s="41"/>
      <c r="C76" s="11"/>
      <c r="D76" s="11"/>
      <c r="E76" s="11"/>
      <c r="F76" s="11"/>
      <c r="G76" s="6"/>
      <c r="H76" s="6">
        <f t="shared" si="6"/>
        <v>0</v>
      </c>
      <c r="I76" s="6"/>
      <c r="J76" s="38"/>
    </row>
    <row r="77" spans="1:11" ht="22.9" customHeight="1" x14ac:dyDescent="0.25">
      <c r="A77" s="141" t="s">
        <v>117</v>
      </c>
      <c r="B77" s="48" t="s">
        <v>110</v>
      </c>
      <c r="C77" s="14">
        <v>14835</v>
      </c>
      <c r="D77" s="14">
        <v>15026</v>
      </c>
      <c r="E77" s="14">
        <v>187</v>
      </c>
      <c r="F77" s="14">
        <v>187</v>
      </c>
      <c r="G77" s="6">
        <f>D77+F77-C77-E77</f>
        <v>191</v>
      </c>
      <c r="H77" s="6">
        <f t="shared" si="6"/>
        <v>8.326664676022693</v>
      </c>
      <c r="I77" s="6">
        <f t="shared" si="2"/>
        <v>199.32666467602269</v>
      </c>
      <c r="J77" s="38"/>
    </row>
    <row r="78" spans="1:11" ht="22.9" customHeight="1" x14ac:dyDescent="0.25">
      <c r="A78" s="144"/>
      <c r="B78" s="48" t="s">
        <v>111</v>
      </c>
      <c r="C78" s="14">
        <v>27383</v>
      </c>
      <c r="D78" s="14">
        <v>27463</v>
      </c>
      <c r="E78" s="14">
        <v>1372</v>
      </c>
      <c r="F78" s="14">
        <v>1372</v>
      </c>
      <c r="G78" s="6">
        <f>D78-C78</f>
        <v>80</v>
      </c>
      <c r="H78" s="6">
        <f t="shared" si="6"/>
        <v>3.4876082412660496</v>
      </c>
      <c r="I78" s="6">
        <f t="shared" si="2"/>
        <v>83.487608241266045</v>
      </c>
      <c r="J78" s="38"/>
      <c r="K78" s="101">
        <f>F78-E78</f>
        <v>0</v>
      </c>
    </row>
    <row r="79" spans="1:11" ht="22.9" customHeight="1" x14ac:dyDescent="0.25">
      <c r="A79" s="144"/>
      <c r="B79" s="48" t="s">
        <v>112</v>
      </c>
      <c r="C79" s="14">
        <v>19613</v>
      </c>
      <c r="D79" s="14">
        <v>19786</v>
      </c>
      <c r="E79" s="14">
        <v>125</v>
      </c>
      <c r="F79" s="14">
        <v>125</v>
      </c>
      <c r="G79" s="6">
        <f>D79+F79-C79-E79</f>
        <v>173</v>
      </c>
      <c r="H79" s="6">
        <f t="shared" ref="H79:H110" si="10">G79*$D$157/$G$153</f>
        <v>7.5419528217378318</v>
      </c>
      <c r="I79" s="6">
        <f t="shared" si="2"/>
        <v>180.54195282173782</v>
      </c>
      <c r="J79" s="38"/>
      <c r="K79" s="129">
        <f>K78/2</f>
        <v>0</v>
      </c>
    </row>
    <row r="80" spans="1:11" ht="22.9" customHeight="1" x14ac:dyDescent="0.25">
      <c r="A80" s="144"/>
      <c r="B80" s="48" t="s">
        <v>274</v>
      </c>
      <c r="C80" s="14">
        <v>31548</v>
      </c>
      <c r="D80" s="14">
        <v>31715</v>
      </c>
      <c r="E80" s="14"/>
      <c r="F80" s="14"/>
      <c r="G80" s="6">
        <f>D80+F80-C80-E80</f>
        <v>167</v>
      </c>
      <c r="H80" s="6">
        <f t="shared" si="10"/>
        <v>7.2803822036428789</v>
      </c>
      <c r="I80" s="6">
        <f t="shared" si="2"/>
        <v>174.28038220364289</v>
      </c>
      <c r="J80" s="38"/>
    </row>
    <row r="81" spans="1:10" ht="22.9" customHeight="1" x14ac:dyDescent="0.25">
      <c r="A81" s="142"/>
      <c r="B81" s="48" t="s">
        <v>273</v>
      </c>
      <c r="C81" s="14">
        <v>30565</v>
      </c>
      <c r="D81" s="14">
        <v>30716</v>
      </c>
      <c r="E81" s="14"/>
      <c r="F81" s="14"/>
      <c r="G81" s="6">
        <f>D81+F81-C81-E81</f>
        <v>151</v>
      </c>
      <c r="H81" s="6">
        <f t="shared" si="10"/>
        <v>6.5828605553896686</v>
      </c>
      <c r="I81" s="6">
        <f>G81+H81</f>
        <v>157.58286055538966</v>
      </c>
      <c r="J81" s="38"/>
    </row>
    <row r="82" spans="1:10" ht="28.15" customHeight="1" x14ac:dyDescent="0.25">
      <c r="A82" s="141" t="s">
        <v>118</v>
      </c>
      <c r="B82" s="48" t="s">
        <v>336</v>
      </c>
      <c r="C82" s="14">
        <v>18240</v>
      </c>
      <c r="D82" s="14">
        <v>18332</v>
      </c>
      <c r="E82" s="14"/>
      <c r="F82" s="14"/>
      <c r="G82" s="6">
        <f>D82+F82-C82-E82</f>
        <v>92</v>
      </c>
      <c r="H82" s="6">
        <f t="shared" si="10"/>
        <v>4.0107494774559571</v>
      </c>
      <c r="I82" s="6">
        <f t="shared" si="2"/>
        <v>96.01074947745596</v>
      </c>
      <c r="J82" s="38"/>
    </row>
    <row r="83" spans="1:10" ht="24.6" customHeight="1" x14ac:dyDescent="0.25">
      <c r="A83" s="144"/>
      <c r="B83" s="48" t="s">
        <v>113</v>
      </c>
      <c r="C83" s="14">
        <v>17287</v>
      </c>
      <c r="D83" s="14">
        <v>17401</v>
      </c>
      <c r="E83" s="14">
        <v>3147</v>
      </c>
      <c r="F83" s="14">
        <v>3179</v>
      </c>
      <c r="G83" s="6">
        <f>D83+F83+F84-C83-E83-E84</f>
        <v>183</v>
      </c>
      <c r="H83" s="6">
        <f t="shared" si="10"/>
        <v>7.9779038518960883</v>
      </c>
      <c r="I83" s="6">
        <f t="shared" si="2"/>
        <v>190.97790385189609</v>
      </c>
      <c r="J83" s="38"/>
    </row>
    <row r="84" spans="1:10" ht="22.15" customHeight="1" x14ac:dyDescent="0.25">
      <c r="A84" s="142"/>
      <c r="B84" s="48" t="s">
        <v>337</v>
      </c>
      <c r="C84" s="14">
        <v>10520</v>
      </c>
      <c r="D84" s="14">
        <v>10607</v>
      </c>
      <c r="E84" s="14">
        <v>1423</v>
      </c>
      <c r="F84" s="14">
        <v>1460</v>
      </c>
      <c r="G84" s="6">
        <f>D84-C84</f>
        <v>87</v>
      </c>
      <c r="H84" s="6">
        <f t="shared" si="10"/>
        <v>3.7927739623768288</v>
      </c>
      <c r="I84" s="6">
        <f t="shared" si="2"/>
        <v>90.792773962376828</v>
      </c>
      <c r="J84" s="38"/>
    </row>
    <row r="85" spans="1:10" ht="30" customHeight="1" x14ac:dyDescent="0.25">
      <c r="A85" s="147" t="s">
        <v>119</v>
      </c>
      <c r="B85" s="48" t="s">
        <v>64</v>
      </c>
      <c r="C85" s="14">
        <v>11444</v>
      </c>
      <c r="D85" s="14">
        <v>11489</v>
      </c>
      <c r="E85" s="14">
        <v>5969</v>
      </c>
      <c r="F85" s="14">
        <v>6004</v>
      </c>
      <c r="G85" s="6">
        <f t="shared" ref="G85:G93" si="11">D85+F85-C85-E85</f>
        <v>80</v>
      </c>
      <c r="H85" s="6">
        <f t="shared" si="10"/>
        <v>3.4876082412660496</v>
      </c>
      <c r="I85" s="6">
        <f t="shared" ref="I85:I145" si="12">G85+H85</f>
        <v>83.487608241266045</v>
      </c>
      <c r="J85" s="38"/>
    </row>
    <row r="86" spans="1:10" ht="25.9" customHeight="1" x14ac:dyDescent="0.25">
      <c r="A86" s="147"/>
      <c r="B86" s="48" t="s">
        <v>114</v>
      </c>
      <c r="C86" s="14">
        <v>1854</v>
      </c>
      <c r="D86" s="14">
        <v>1917</v>
      </c>
      <c r="E86" s="14">
        <v>2492</v>
      </c>
      <c r="F86" s="14">
        <v>2515</v>
      </c>
      <c r="G86" s="6">
        <f t="shared" si="11"/>
        <v>86</v>
      </c>
      <c r="H86" s="6">
        <f t="shared" si="10"/>
        <v>3.7491788593610034</v>
      </c>
      <c r="I86" s="6">
        <f t="shared" si="12"/>
        <v>89.74917885936101</v>
      </c>
      <c r="J86" s="38"/>
    </row>
    <row r="87" spans="1:10" ht="25.9" customHeight="1" x14ac:dyDescent="0.25">
      <c r="A87" s="147"/>
      <c r="B87" s="48" t="s">
        <v>163</v>
      </c>
      <c r="C87" s="14">
        <v>15145</v>
      </c>
      <c r="D87" s="14">
        <v>15664</v>
      </c>
      <c r="E87" s="14"/>
      <c r="F87" s="14"/>
      <c r="G87" s="6">
        <f t="shared" si="11"/>
        <v>519</v>
      </c>
      <c r="H87" s="6">
        <f t="shared" si="10"/>
        <v>22.625858465213497</v>
      </c>
      <c r="I87" s="6">
        <f>G87+H87</f>
        <v>541.62585846521347</v>
      </c>
      <c r="J87" s="38"/>
    </row>
    <row r="88" spans="1:10" ht="22.9" customHeight="1" x14ac:dyDescent="0.25">
      <c r="A88" s="147" t="s">
        <v>120</v>
      </c>
      <c r="B88" s="48" t="s">
        <v>115</v>
      </c>
      <c r="C88" s="14">
        <v>17059</v>
      </c>
      <c r="D88" s="14">
        <v>17169</v>
      </c>
      <c r="E88" s="14">
        <v>3274</v>
      </c>
      <c r="F88" s="14">
        <v>3320</v>
      </c>
      <c r="G88" s="6">
        <f t="shared" si="11"/>
        <v>156</v>
      </c>
      <c r="H88" s="6">
        <f t="shared" si="10"/>
        <v>6.8008360704687965</v>
      </c>
      <c r="I88" s="6">
        <f t="shared" si="12"/>
        <v>162.80083607046879</v>
      </c>
      <c r="J88" s="38"/>
    </row>
    <row r="89" spans="1:10" ht="21" customHeight="1" x14ac:dyDescent="0.25">
      <c r="A89" s="147"/>
      <c r="B89" s="48" t="s">
        <v>116</v>
      </c>
      <c r="C89" s="14">
        <v>26630</v>
      </c>
      <c r="D89" s="14">
        <v>26828</v>
      </c>
      <c r="E89" s="14"/>
      <c r="F89" s="14"/>
      <c r="G89" s="6">
        <f t="shared" si="11"/>
        <v>198</v>
      </c>
      <c r="H89" s="6">
        <f t="shared" si="10"/>
        <v>8.6318303971334736</v>
      </c>
      <c r="I89" s="6">
        <f t="shared" si="12"/>
        <v>206.63183039713348</v>
      </c>
      <c r="J89" s="38"/>
    </row>
    <row r="90" spans="1:10" ht="21" customHeight="1" x14ac:dyDescent="0.25">
      <c r="A90" s="147"/>
      <c r="B90" s="48" t="s">
        <v>266</v>
      </c>
      <c r="C90" s="14">
        <v>13923</v>
      </c>
      <c r="D90" s="14">
        <v>14127</v>
      </c>
      <c r="E90" s="14"/>
      <c r="F90" s="14"/>
      <c r="G90" s="6">
        <f t="shared" si="11"/>
        <v>204</v>
      </c>
      <c r="H90" s="6">
        <f t="shared" si="10"/>
        <v>8.8934010152284255</v>
      </c>
      <c r="I90" s="6">
        <f t="shared" si="12"/>
        <v>212.89340101522842</v>
      </c>
      <c r="J90" s="38"/>
    </row>
    <row r="91" spans="1:10" ht="30" customHeight="1" x14ac:dyDescent="0.25">
      <c r="A91" s="147" t="s">
        <v>121</v>
      </c>
      <c r="B91" s="48" t="s">
        <v>64</v>
      </c>
      <c r="C91" s="14">
        <v>8198</v>
      </c>
      <c r="D91" s="14">
        <v>8248</v>
      </c>
      <c r="E91" s="14">
        <v>1759</v>
      </c>
      <c r="F91" s="14">
        <v>1787</v>
      </c>
      <c r="G91" s="6">
        <f t="shared" si="11"/>
        <v>78</v>
      </c>
      <c r="H91" s="6">
        <f t="shared" si="10"/>
        <v>3.4004180352343982</v>
      </c>
      <c r="I91" s="6">
        <f t="shared" si="12"/>
        <v>81.400418035234395</v>
      </c>
      <c r="J91" s="38"/>
    </row>
    <row r="92" spans="1:10" ht="25.15" customHeight="1" x14ac:dyDescent="0.25">
      <c r="A92" s="147"/>
      <c r="B92" s="48" t="s">
        <v>223</v>
      </c>
      <c r="C92" s="14">
        <v>8524</v>
      </c>
      <c r="D92" s="14">
        <v>8658</v>
      </c>
      <c r="E92" s="14"/>
      <c r="F92" s="14"/>
      <c r="G92" s="6">
        <f t="shared" si="11"/>
        <v>134</v>
      </c>
      <c r="H92" s="6">
        <f t="shared" si="10"/>
        <v>5.8417438041206333</v>
      </c>
      <c r="I92" s="6">
        <f t="shared" si="12"/>
        <v>139.84174380412063</v>
      </c>
      <c r="J92" s="38"/>
    </row>
    <row r="93" spans="1:10" ht="25.9" customHeight="1" x14ac:dyDescent="0.25">
      <c r="A93" s="49"/>
      <c r="B93" s="48" t="s">
        <v>122</v>
      </c>
      <c r="C93" s="14">
        <v>7261</v>
      </c>
      <c r="D93" s="14">
        <v>7328</v>
      </c>
      <c r="E93" s="14">
        <v>948</v>
      </c>
      <c r="F93" s="14">
        <v>949</v>
      </c>
      <c r="G93" s="6">
        <f t="shared" si="11"/>
        <v>68</v>
      </c>
      <c r="H93" s="6">
        <f t="shared" si="10"/>
        <v>2.9644670050761421</v>
      </c>
      <c r="I93" s="6">
        <f t="shared" si="12"/>
        <v>70.964467005076145</v>
      </c>
      <c r="J93" s="38"/>
    </row>
    <row r="94" spans="1:10" ht="31.15" customHeight="1" x14ac:dyDescent="0.25">
      <c r="A94" s="147" t="s">
        <v>123</v>
      </c>
      <c r="B94" s="48" t="s">
        <v>102</v>
      </c>
      <c r="C94" s="14">
        <v>14756</v>
      </c>
      <c r="D94" s="14">
        <v>14803</v>
      </c>
      <c r="E94" s="14">
        <v>1276</v>
      </c>
      <c r="F94" s="14">
        <v>1303</v>
      </c>
      <c r="G94" s="6">
        <f>(D94+F94-C94-E94)+K79</f>
        <v>74</v>
      </c>
      <c r="H94" s="6">
        <f t="shared" si="10"/>
        <v>3.2260376231710959</v>
      </c>
      <c r="I94" s="6">
        <f t="shared" si="12"/>
        <v>77.226037623171095</v>
      </c>
      <c r="J94" s="38"/>
    </row>
    <row r="95" spans="1:10" ht="22.9" customHeight="1" x14ac:dyDescent="0.25">
      <c r="A95" s="147"/>
      <c r="B95" s="48" t="s">
        <v>281</v>
      </c>
      <c r="C95" s="14">
        <v>25238</v>
      </c>
      <c r="D95" s="14">
        <v>25360</v>
      </c>
      <c r="E95" s="14"/>
      <c r="F95" s="14"/>
      <c r="G95" s="6">
        <f>D95+F95-C95-E95</f>
        <v>122</v>
      </c>
      <c r="H95" s="6">
        <f t="shared" si="10"/>
        <v>5.3186025679307258</v>
      </c>
      <c r="I95" s="6">
        <f t="shared" si="12"/>
        <v>127.31860256793072</v>
      </c>
      <c r="J95" s="38"/>
    </row>
    <row r="96" spans="1:10" ht="22.9" customHeight="1" x14ac:dyDescent="0.25">
      <c r="A96" s="147" t="s">
        <v>124</v>
      </c>
      <c r="B96" s="48" t="s">
        <v>64</v>
      </c>
      <c r="C96" s="14">
        <v>7770</v>
      </c>
      <c r="D96" s="14">
        <v>7881</v>
      </c>
      <c r="E96" s="14">
        <v>1930</v>
      </c>
      <c r="F96" s="14">
        <v>1943</v>
      </c>
      <c r="G96" s="6">
        <f>D96+F96-C96-E96+K79</f>
        <v>124</v>
      </c>
      <c r="H96" s="6">
        <f t="shared" si="10"/>
        <v>5.4057927739623768</v>
      </c>
      <c r="I96" s="6">
        <f t="shared" si="12"/>
        <v>129.40579277396239</v>
      </c>
      <c r="J96" s="38"/>
    </row>
    <row r="97" spans="1:10" ht="21.6" customHeight="1" x14ac:dyDescent="0.25">
      <c r="A97" s="147"/>
      <c r="B97" s="48" t="s">
        <v>114</v>
      </c>
      <c r="C97" s="14">
        <v>442</v>
      </c>
      <c r="D97" s="14">
        <v>560</v>
      </c>
      <c r="E97" s="14"/>
      <c r="F97" s="14"/>
      <c r="G97" s="6">
        <f>D97+F97-C97-E97</f>
        <v>118</v>
      </c>
      <c r="H97" s="6">
        <f t="shared" si="10"/>
        <v>5.144222155867423</v>
      </c>
      <c r="I97" s="6">
        <f>G97+H97</f>
        <v>123.14422215586742</v>
      </c>
      <c r="J97" s="38"/>
    </row>
    <row r="98" spans="1:10" ht="23.45" customHeight="1" x14ac:dyDescent="0.25">
      <c r="A98" s="147"/>
      <c r="B98" s="48" t="s">
        <v>299</v>
      </c>
      <c r="C98" s="14">
        <v>14741</v>
      </c>
      <c r="D98" s="14">
        <v>14821</v>
      </c>
      <c r="E98" s="14">
        <v>892</v>
      </c>
      <c r="F98" s="14">
        <v>903</v>
      </c>
      <c r="G98" s="6">
        <f>D98+F98-C98-E98</f>
        <v>91</v>
      </c>
      <c r="H98" s="6">
        <f t="shared" si="10"/>
        <v>3.9671543744401312</v>
      </c>
      <c r="I98" s="6">
        <f t="shared" si="12"/>
        <v>94.967154374440128</v>
      </c>
      <c r="J98" s="38"/>
    </row>
    <row r="99" spans="1:10" ht="19.149999999999999" customHeight="1" x14ac:dyDescent="0.25">
      <c r="A99" s="49"/>
      <c r="B99" s="48"/>
      <c r="C99" s="14"/>
      <c r="D99" s="14"/>
      <c r="E99" s="14"/>
      <c r="F99" s="14"/>
      <c r="G99" s="6"/>
      <c r="H99" s="6">
        <f t="shared" si="10"/>
        <v>0</v>
      </c>
      <c r="I99" s="6"/>
      <c r="J99" s="38"/>
    </row>
    <row r="100" spans="1:10" ht="19.149999999999999" customHeight="1" x14ac:dyDescent="0.25">
      <c r="A100" s="141" t="s">
        <v>92</v>
      </c>
      <c r="B100" s="41" t="s">
        <v>69</v>
      </c>
      <c r="C100" s="11">
        <v>10365</v>
      </c>
      <c r="D100" s="11">
        <v>10607</v>
      </c>
      <c r="E100" s="11"/>
      <c r="F100" s="11"/>
      <c r="G100" s="6">
        <f t="shared" ref="G100:G113" si="13">D100+F100-C100-E100</f>
        <v>242</v>
      </c>
      <c r="H100" s="6">
        <f t="shared" si="10"/>
        <v>10.5500149298298</v>
      </c>
      <c r="I100" s="6">
        <f t="shared" si="12"/>
        <v>252.55001492982979</v>
      </c>
      <c r="J100" s="38"/>
    </row>
    <row r="101" spans="1:10" ht="19.149999999999999" customHeight="1" x14ac:dyDescent="0.25">
      <c r="A101" s="144"/>
      <c r="B101" s="41" t="s">
        <v>70</v>
      </c>
      <c r="C101" s="11">
        <v>20076</v>
      </c>
      <c r="D101" s="11">
        <v>20923</v>
      </c>
      <c r="E101" s="11"/>
      <c r="F101" s="11"/>
      <c r="G101" s="6">
        <f t="shared" si="13"/>
        <v>847</v>
      </c>
      <c r="H101" s="6">
        <f t="shared" si="10"/>
        <v>36.925052254404299</v>
      </c>
      <c r="I101" s="6">
        <f t="shared" si="12"/>
        <v>883.92505225440425</v>
      </c>
      <c r="J101" s="38"/>
    </row>
    <row r="102" spans="1:10" ht="19.149999999999999" customHeight="1" x14ac:dyDescent="0.25">
      <c r="A102" s="144"/>
      <c r="B102" s="41" t="s">
        <v>71</v>
      </c>
      <c r="C102" s="11">
        <v>43170</v>
      </c>
      <c r="D102" s="11">
        <v>43331</v>
      </c>
      <c r="E102" s="11"/>
      <c r="F102" s="11"/>
      <c r="G102" s="6">
        <f t="shared" si="13"/>
        <v>161</v>
      </c>
      <c r="H102" s="6">
        <f t="shared" si="10"/>
        <v>7.0188115855479252</v>
      </c>
      <c r="I102" s="6">
        <f t="shared" si="12"/>
        <v>168.01881158554792</v>
      </c>
      <c r="J102" s="38"/>
    </row>
    <row r="103" spans="1:10" ht="19.149999999999999" customHeight="1" x14ac:dyDescent="0.25">
      <c r="A103" s="144"/>
      <c r="B103" s="41" t="s">
        <v>72</v>
      </c>
      <c r="C103" s="11">
        <v>1572</v>
      </c>
      <c r="D103" s="11">
        <v>1579</v>
      </c>
      <c r="E103" s="11"/>
      <c r="F103" s="11"/>
      <c r="G103" s="6">
        <f t="shared" si="13"/>
        <v>7</v>
      </c>
      <c r="H103" s="6">
        <f t="shared" si="10"/>
        <v>0.30516572111077933</v>
      </c>
      <c r="I103" s="6">
        <f t="shared" si="12"/>
        <v>7.3051657211107797</v>
      </c>
      <c r="J103" s="38"/>
    </row>
    <row r="104" spans="1:10" ht="19.149999999999999" customHeight="1" x14ac:dyDescent="0.25">
      <c r="A104" s="144"/>
      <c r="B104" s="41" t="s">
        <v>73</v>
      </c>
      <c r="C104" s="11">
        <v>19171</v>
      </c>
      <c r="D104" s="11">
        <v>19253</v>
      </c>
      <c r="E104" s="11"/>
      <c r="F104" s="11"/>
      <c r="G104" s="6">
        <f t="shared" si="13"/>
        <v>82</v>
      </c>
      <c r="H104" s="6">
        <f t="shared" si="10"/>
        <v>3.574798447297701</v>
      </c>
      <c r="I104" s="6">
        <f t="shared" si="12"/>
        <v>85.574798447297695</v>
      </c>
      <c r="J104" s="38"/>
    </row>
    <row r="105" spans="1:10" ht="19.149999999999999" customHeight="1" x14ac:dyDescent="0.25">
      <c r="A105" s="144"/>
      <c r="B105" s="41" t="s">
        <v>74</v>
      </c>
      <c r="C105" s="11">
        <v>79563</v>
      </c>
      <c r="D105" s="11">
        <v>79700</v>
      </c>
      <c r="E105" s="11"/>
      <c r="F105" s="11"/>
      <c r="G105" s="6">
        <f t="shared" si="13"/>
        <v>137</v>
      </c>
      <c r="H105" s="6">
        <f t="shared" si="10"/>
        <v>5.9725291131681102</v>
      </c>
      <c r="I105" s="6">
        <f t="shared" si="12"/>
        <v>142.97252911316812</v>
      </c>
      <c r="J105" s="38"/>
    </row>
    <row r="106" spans="1:10" ht="19.149999999999999" customHeight="1" x14ac:dyDescent="0.25">
      <c r="A106" s="142"/>
      <c r="B106" s="41" t="s">
        <v>75</v>
      </c>
      <c r="C106" s="11">
        <v>15437</v>
      </c>
      <c r="D106" s="11">
        <v>15595</v>
      </c>
      <c r="E106" s="11"/>
      <c r="F106" s="11"/>
      <c r="G106" s="6">
        <f t="shared" si="13"/>
        <v>158</v>
      </c>
      <c r="H106" s="6">
        <f t="shared" si="10"/>
        <v>6.8880262765004483</v>
      </c>
      <c r="I106" s="6">
        <f t="shared" si="12"/>
        <v>164.88802627650045</v>
      </c>
      <c r="J106" s="38"/>
    </row>
    <row r="107" spans="1:10" ht="19.149999999999999" customHeight="1" x14ac:dyDescent="0.25">
      <c r="A107" s="147" t="s">
        <v>149</v>
      </c>
      <c r="B107" s="41" t="s">
        <v>224</v>
      </c>
      <c r="C107" s="11">
        <v>506</v>
      </c>
      <c r="D107" s="11">
        <v>872</v>
      </c>
      <c r="E107" s="11"/>
      <c r="F107" s="11"/>
      <c r="G107" s="6">
        <f t="shared" si="13"/>
        <v>366</v>
      </c>
      <c r="H107" s="6">
        <f t="shared" si="10"/>
        <v>15.955807703792177</v>
      </c>
      <c r="I107" s="6">
        <f t="shared" si="12"/>
        <v>381.95580770379217</v>
      </c>
      <c r="J107" s="38"/>
    </row>
    <row r="108" spans="1:10" ht="19.149999999999999" customHeight="1" x14ac:dyDescent="0.25">
      <c r="A108" s="147"/>
      <c r="B108" s="41" t="s">
        <v>225</v>
      </c>
      <c r="C108" s="11">
        <v>9097</v>
      </c>
      <c r="D108" s="11">
        <v>9660</v>
      </c>
      <c r="E108" s="11"/>
      <c r="F108" s="11"/>
      <c r="G108" s="6">
        <f t="shared" si="13"/>
        <v>563</v>
      </c>
      <c r="H108" s="6">
        <f t="shared" si="10"/>
        <v>24.544042997909823</v>
      </c>
      <c r="I108" s="6">
        <f t="shared" si="12"/>
        <v>587.54404299790986</v>
      </c>
      <c r="J108" s="38"/>
    </row>
    <row r="109" spans="1:10" ht="19.149999999999999" customHeight="1" x14ac:dyDescent="0.25">
      <c r="A109" s="147"/>
      <c r="B109" s="41" t="s">
        <v>226</v>
      </c>
      <c r="C109" s="11">
        <v>71919</v>
      </c>
      <c r="D109" s="11">
        <v>72269</v>
      </c>
      <c r="E109" s="11"/>
      <c r="F109" s="11"/>
      <c r="G109" s="6">
        <f t="shared" si="13"/>
        <v>350</v>
      </c>
      <c r="H109" s="6">
        <f t="shared" si="10"/>
        <v>15.258286055538967</v>
      </c>
      <c r="I109" s="6">
        <f t="shared" si="12"/>
        <v>365.25828605553897</v>
      </c>
      <c r="J109" s="38"/>
    </row>
    <row r="110" spans="1:10" ht="19.149999999999999" customHeight="1" x14ac:dyDescent="0.25">
      <c r="A110" s="147"/>
      <c r="B110" s="41" t="s">
        <v>70</v>
      </c>
      <c r="C110" s="11">
        <v>8765</v>
      </c>
      <c r="D110" s="11">
        <v>9265</v>
      </c>
      <c r="E110" s="11"/>
      <c r="F110" s="11"/>
      <c r="G110" s="6">
        <f t="shared" si="13"/>
        <v>500</v>
      </c>
      <c r="H110" s="6">
        <f t="shared" si="10"/>
        <v>21.797551507912811</v>
      </c>
      <c r="I110" s="6">
        <f t="shared" si="12"/>
        <v>521.79755150791277</v>
      </c>
      <c r="J110" s="38"/>
    </row>
    <row r="111" spans="1:10" ht="19.149999999999999" customHeight="1" x14ac:dyDescent="0.25">
      <c r="A111" s="147"/>
      <c r="B111" s="41" t="s">
        <v>227</v>
      </c>
      <c r="C111" s="11">
        <v>14244</v>
      </c>
      <c r="D111" s="11">
        <v>14477</v>
      </c>
      <c r="E111" s="11"/>
      <c r="F111" s="11"/>
      <c r="G111" s="6">
        <f t="shared" si="13"/>
        <v>233</v>
      </c>
      <c r="H111" s="6">
        <f t="shared" ref="H111:H141" si="14">G111*$D$157/$G$153</f>
        <v>10.157659002687369</v>
      </c>
      <c r="I111" s="6">
        <f t="shared" si="12"/>
        <v>243.15765900268738</v>
      </c>
      <c r="J111" s="38"/>
    </row>
    <row r="112" spans="1:10" ht="19.149999999999999" customHeight="1" x14ac:dyDescent="0.25">
      <c r="A112" s="147"/>
      <c r="B112" s="41" t="s">
        <v>228</v>
      </c>
      <c r="C112" s="11">
        <v>13726</v>
      </c>
      <c r="D112" s="11">
        <v>14162</v>
      </c>
      <c r="E112" s="11"/>
      <c r="F112" s="11"/>
      <c r="G112" s="6">
        <f t="shared" si="13"/>
        <v>436</v>
      </c>
      <c r="H112" s="6">
        <f t="shared" si="14"/>
        <v>19.00746491489997</v>
      </c>
      <c r="I112" s="6">
        <f t="shared" si="12"/>
        <v>455.00746491489997</v>
      </c>
      <c r="J112" s="38"/>
    </row>
    <row r="113" spans="1:10" ht="21.6" customHeight="1" x14ac:dyDescent="0.25">
      <c r="A113" s="147"/>
      <c r="B113" s="41" t="s">
        <v>229</v>
      </c>
      <c r="C113" s="11">
        <v>5174</v>
      </c>
      <c r="D113" s="11">
        <v>5481</v>
      </c>
      <c r="E113" s="11"/>
      <c r="F113" s="11"/>
      <c r="G113" s="6">
        <f t="shared" si="13"/>
        <v>307</v>
      </c>
      <c r="H113" s="6">
        <f t="shared" si="14"/>
        <v>13.383696625858466</v>
      </c>
      <c r="I113" s="6">
        <f t="shared" si="12"/>
        <v>320.38369662585848</v>
      </c>
      <c r="J113" s="38"/>
    </row>
    <row r="114" spans="1:10" ht="19.149999999999999" customHeight="1" x14ac:dyDescent="0.25">
      <c r="A114" s="29"/>
      <c r="B114" s="41" t="s">
        <v>127</v>
      </c>
      <c r="C114" s="11">
        <v>8105</v>
      </c>
      <c r="D114" s="11">
        <v>9252</v>
      </c>
      <c r="E114" s="11"/>
      <c r="F114" s="11"/>
      <c r="G114" s="6">
        <f>D114+F114-C114-E114</f>
        <v>1147</v>
      </c>
      <c r="H114" s="6">
        <f t="shared" si="14"/>
        <v>50.003583159151987</v>
      </c>
      <c r="I114" s="6">
        <f t="shared" si="12"/>
        <v>1197.003583159152</v>
      </c>
      <c r="J114" s="38"/>
    </row>
    <row r="115" spans="1:10" ht="18" customHeight="1" x14ac:dyDescent="0.25">
      <c r="A115" s="141" t="s">
        <v>151</v>
      </c>
      <c r="B115" s="51" t="s">
        <v>13</v>
      </c>
      <c r="C115" s="12">
        <v>22360</v>
      </c>
      <c r="D115" s="12">
        <v>23020</v>
      </c>
      <c r="E115" s="11"/>
      <c r="F115" s="11"/>
      <c r="G115" s="6">
        <f>D115+F115-C115-E115</f>
        <v>660</v>
      </c>
      <c r="H115" s="6">
        <f t="shared" si="14"/>
        <v>28.772767990444908</v>
      </c>
      <c r="I115" s="6">
        <f t="shared" si="12"/>
        <v>688.77276799044489</v>
      </c>
      <c r="J115" s="38"/>
    </row>
    <row r="116" spans="1:10" ht="18" customHeight="1" x14ac:dyDescent="0.25">
      <c r="A116" s="144"/>
      <c r="B116" s="41" t="s">
        <v>128</v>
      </c>
      <c r="C116" s="11">
        <v>70946</v>
      </c>
      <c r="D116" s="11">
        <v>71078</v>
      </c>
      <c r="E116" s="11"/>
      <c r="F116" s="11"/>
      <c r="G116" s="6">
        <f>D116+F116-C116-E116</f>
        <v>132</v>
      </c>
      <c r="H116" s="6">
        <f t="shared" si="14"/>
        <v>5.7545535980889815</v>
      </c>
      <c r="I116" s="6">
        <f t="shared" si="12"/>
        <v>137.75455359808899</v>
      </c>
      <c r="J116" s="38"/>
    </row>
    <row r="117" spans="1:10" x14ac:dyDescent="0.25">
      <c r="A117" s="144"/>
      <c r="B117" s="51" t="s">
        <v>6</v>
      </c>
      <c r="C117" s="12">
        <v>5762</v>
      </c>
      <c r="D117" s="12">
        <v>5948</v>
      </c>
      <c r="E117" s="11"/>
      <c r="F117" s="11"/>
      <c r="G117" s="6">
        <f t="shared" ref="G117:G132" si="15">D117+F117-C117-E117</f>
        <v>186</v>
      </c>
      <c r="H117" s="6">
        <f t="shared" si="14"/>
        <v>8.1086891609435661</v>
      </c>
      <c r="I117" s="6">
        <f t="shared" si="12"/>
        <v>194.10868916094356</v>
      </c>
      <c r="J117" s="38"/>
    </row>
    <row r="118" spans="1:10" x14ac:dyDescent="0.25">
      <c r="A118" s="144"/>
      <c r="B118" s="51" t="s">
        <v>14</v>
      </c>
      <c r="C118" s="12">
        <v>8564</v>
      </c>
      <c r="D118" s="12">
        <v>8589</v>
      </c>
      <c r="E118" s="11"/>
      <c r="F118" s="11"/>
      <c r="G118" s="6">
        <f t="shared" si="15"/>
        <v>25</v>
      </c>
      <c r="H118" s="6">
        <f t="shared" si="14"/>
        <v>1.0898775753956405</v>
      </c>
      <c r="I118" s="6">
        <f t="shared" si="12"/>
        <v>26.08987757539564</v>
      </c>
      <c r="J118" s="38"/>
    </row>
    <row r="119" spans="1:10" x14ac:dyDescent="0.25">
      <c r="A119" s="144"/>
      <c r="B119" s="51" t="s">
        <v>142</v>
      </c>
      <c r="C119" s="12">
        <v>1693</v>
      </c>
      <c r="D119" s="12">
        <v>1879</v>
      </c>
      <c r="E119" s="11"/>
      <c r="F119" s="11"/>
      <c r="G119" s="6">
        <f t="shared" si="15"/>
        <v>186</v>
      </c>
      <c r="H119" s="6">
        <f t="shared" si="14"/>
        <v>8.1086891609435661</v>
      </c>
      <c r="I119" s="6">
        <f t="shared" si="12"/>
        <v>194.10868916094356</v>
      </c>
      <c r="J119" s="38"/>
    </row>
    <row r="120" spans="1:10" ht="18" customHeight="1" x14ac:dyDescent="0.25">
      <c r="A120" s="144"/>
      <c r="B120" s="51" t="s">
        <v>130</v>
      </c>
      <c r="C120" s="12">
        <v>1613</v>
      </c>
      <c r="D120" s="12">
        <v>1623</v>
      </c>
      <c r="E120" s="11"/>
      <c r="F120" s="11"/>
      <c r="G120" s="6">
        <f t="shared" si="15"/>
        <v>10</v>
      </c>
      <c r="H120" s="6">
        <f t="shared" si="14"/>
        <v>0.4359510301582562</v>
      </c>
      <c r="I120" s="6">
        <f t="shared" si="12"/>
        <v>10.435951030158256</v>
      </c>
      <c r="J120" s="38"/>
    </row>
    <row r="121" spans="1:10" x14ac:dyDescent="0.25">
      <c r="A121" s="144"/>
      <c r="B121" s="51" t="s">
        <v>133</v>
      </c>
      <c r="C121" s="12">
        <v>54685</v>
      </c>
      <c r="D121" s="12">
        <v>57746</v>
      </c>
      <c r="E121" s="11"/>
      <c r="F121" s="11"/>
      <c r="G121" s="6">
        <f>D121+F121-C121-E121</f>
        <v>3061</v>
      </c>
      <c r="H121" s="6">
        <f t="shared" si="14"/>
        <v>133.44461033144222</v>
      </c>
      <c r="I121" s="6">
        <f t="shared" si="12"/>
        <v>3194.4446103314422</v>
      </c>
      <c r="J121" s="38"/>
    </row>
    <row r="122" spans="1:10" x14ac:dyDescent="0.25">
      <c r="A122" s="144"/>
      <c r="B122" s="51" t="s">
        <v>139</v>
      </c>
      <c r="C122" s="12">
        <v>1629</v>
      </c>
      <c r="D122" s="12">
        <v>1633</v>
      </c>
      <c r="E122" s="11"/>
      <c r="F122" s="11"/>
      <c r="G122" s="6">
        <f t="shared" si="15"/>
        <v>4</v>
      </c>
      <c r="H122" s="6">
        <f t="shared" si="14"/>
        <v>0.17438041206330249</v>
      </c>
      <c r="I122" s="6">
        <f t="shared" si="12"/>
        <v>4.1743804120633028</v>
      </c>
      <c r="J122" s="38"/>
    </row>
    <row r="123" spans="1:10" x14ac:dyDescent="0.25">
      <c r="A123" s="144"/>
      <c r="B123" s="51" t="s">
        <v>140</v>
      </c>
      <c r="C123" s="12">
        <v>1475</v>
      </c>
      <c r="D123" s="12">
        <v>1478</v>
      </c>
      <c r="E123" s="11"/>
      <c r="F123" s="11"/>
      <c r="G123" s="6">
        <f t="shared" si="15"/>
        <v>3</v>
      </c>
      <c r="H123" s="6">
        <f t="shared" si="14"/>
        <v>0.13078530904747687</v>
      </c>
      <c r="I123" s="6">
        <f t="shared" si="12"/>
        <v>3.1307853090474769</v>
      </c>
      <c r="J123" s="38"/>
    </row>
    <row r="124" spans="1:10" x14ac:dyDescent="0.25">
      <c r="A124" s="144"/>
      <c r="B124" s="51" t="s">
        <v>140</v>
      </c>
      <c r="C124" s="12">
        <v>4797</v>
      </c>
      <c r="D124" s="12">
        <v>4804</v>
      </c>
      <c r="E124" s="11"/>
      <c r="F124" s="11"/>
      <c r="G124" s="6">
        <f t="shared" si="15"/>
        <v>7</v>
      </c>
      <c r="H124" s="6">
        <f t="shared" si="14"/>
        <v>0.30516572111077933</v>
      </c>
      <c r="I124" s="6">
        <f t="shared" si="12"/>
        <v>7.3051657211107797</v>
      </c>
      <c r="J124" s="38"/>
    </row>
    <row r="125" spans="1:10" x14ac:dyDescent="0.25">
      <c r="A125" s="144"/>
      <c r="B125" s="51" t="s">
        <v>141</v>
      </c>
      <c r="C125" s="12">
        <v>1109</v>
      </c>
      <c r="D125" s="12">
        <v>1114</v>
      </c>
      <c r="E125" s="11"/>
      <c r="F125" s="11"/>
      <c r="G125" s="6">
        <f t="shared" si="15"/>
        <v>5</v>
      </c>
      <c r="H125" s="6">
        <f t="shared" si="14"/>
        <v>0.2179755150791281</v>
      </c>
      <c r="I125" s="6">
        <f t="shared" si="12"/>
        <v>5.2179755150791278</v>
      </c>
      <c r="J125" s="38"/>
    </row>
    <row r="126" spans="1:10" x14ac:dyDescent="0.25">
      <c r="A126" s="144"/>
      <c r="B126" s="51" t="s">
        <v>135</v>
      </c>
      <c r="C126" s="12">
        <v>9064</v>
      </c>
      <c r="D126" s="12">
        <v>9179</v>
      </c>
      <c r="E126" s="11"/>
      <c r="F126" s="11"/>
      <c r="G126" s="6">
        <f t="shared" si="15"/>
        <v>115</v>
      </c>
      <c r="H126" s="6">
        <f t="shared" si="14"/>
        <v>5.0134368468199462</v>
      </c>
      <c r="I126" s="6">
        <f t="shared" si="12"/>
        <v>120.01343684681994</v>
      </c>
      <c r="J126" s="38"/>
    </row>
    <row r="127" spans="1:10" x14ac:dyDescent="0.25">
      <c r="A127" s="144"/>
      <c r="B127" s="51" t="s">
        <v>136</v>
      </c>
      <c r="C127" s="12">
        <v>7358</v>
      </c>
      <c r="D127" s="12">
        <v>7428</v>
      </c>
      <c r="E127" s="11"/>
      <c r="F127" s="11"/>
      <c r="G127" s="6">
        <f t="shared" si="15"/>
        <v>70</v>
      </c>
      <c r="H127" s="6">
        <f t="shared" si="14"/>
        <v>3.0516572111077935</v>
      </c>
      <c r="I127" s="6">
        <f t="shared" si="12"/>
        <v>73.051657211107795</v>
      </c>
      <c r="J127" s="38"/>
    </row>
    <row r="128" spans="1:10" ht="18" customHeight="1" x14ac:dyDescent="0.25">
      <c r="A128" s="144"/>
      <c r="B128" s="51" t="s">
        <v>137</v>
      </c>
      <c r="C128" s="12">
        <v>12016</v>
      </c>
      <c r="D128" s="12">
        <v>12466</v>
      </c>
      <c r="E128" s="11"/>
      <c r="F128" s="11"/>
      <c r="G128" s="6">
        <f t="shared" si="15"/>
        <v>450</v>
      </c>
      <c r="H128" s="6">
        <f t="shared" si="14"/>
        <v>19.617796357121527</v>
      </c>
      <c r="I128" s="6">
        <f t="shared" si="12"/>
        <v>469.61779635712151</v>
      </c>
      <c r="J128" s="38"/>
    </row>
    <row r="129" spans="1:10" x14ac:dyDescent="0.25">
      <c r="A129" s="144"/>
      <c r="B129" s="51" t="s">
        <v>138</v>
      </c>
      <c r="C129" s="12">
        <v>13424</v>
      </c>
      <c r="D129" s="12">
        <v>13651</v>
      </c>
      <c r="E129" s="11"/>
      <c r="F129" s="11"/>
      <c r="G129" s="6">
        <f t="shared" si="15"/>
        <v>227</v>
      </c>
      <c r="H129" s="6">
        <f t="shared" si="14"/>
        <v>9.8960883845924155</v>
      </c>
      <c r="I129" s="6">
        <f t="shared" si="12"/>
        <v>236.89608838459242</v>
      </c>
      <c r="J129" s="38"/>
    </row>
    <row r="130" spans="1:10" x14ac:dyDescent="0.25">
      <c r="A130" s="144"/>
      <c r="B130" s="51" t="s">
        <v>144</v>
      </c>
      <c r="C130" s="12">
        <v>2377</v>
      </c>
      <c r="D130" s="12">
        <v>3208</v>
      </c>
      <c r="E130" s="11"/>
      <c r="F130" s="11"/>
      <c r="G130" s="6">
        <f t="shared" si="15"/>
        <v>831</v>
      </c>
      <c r="H130" s="6">
        <f t="shared" si="14"/>
        <v>36.227530606151092</v>
      </c>
      <c r="I130" s="6">
        <f t="shared" si="12"/>
        <v>867.22753060615105</v>
      </c>
      <c r="J130" s="38"/>
    </row>
    <row r="131" spans="1:10" x14ac:dyDescent="0.25">
      <c r="A131" s="144"/>
      <c r="B131" s="51" t="s">
        <v>134</v>
      </c>
      <c r="C131" s="12">
        <v>1297</v>
      </c>
      <c r="D131" s="12">
        <v>1304</v>
      </c>
      <c r="E131" s="11"/>
      <c r="F131" s="11"/>
      <c r="G131" s="6">
        <f t="shared" si="15"/>
        <v>7</v>
      </c>
      <c r="H131" s="6">
        <f t="shared" si="14"/>
        <v>0.30516572111077933</v>
      </c>
      <c r="I131" s="6">
        <f t="shared" si="12"/>
        <v>7.3051657211107797</v>
      </c>
      <c r="J131" s="38"/>
    </row>
    <row r="132" spans="1:10" x14ac:dyDescent="0.25">
      <c r="A132" s="144"/>
      <c r="B132" s="51" t="s">
        <v>131</v>
      </c>
      <c r="C132" s="12">
        <v>10311</v>
      </c>
      <c r="D132" s="12">
        <v>10369</v>
      </c>
      <c r="E132" s="11"/>
      <c r="F132" s="11"/>
      <c r="G132" s="6">
        <f t="shared" si="15"/>
        <v>58</v>
      </c>
      <c r="H132" s="6">
        <f t="shared" si="14"/>
        <v>2.528515974917886</v>
      </c>
      <c r="I132" s="6">
        <f t="shared" si="12"/>
        <v>60.528515974917887</v>
      </c>
      <c r="J132" s="38"/>
    </row>
    <row r="133" spans="1:10" x14ac:dyDescent="0.25">
      <c r="A133" s="144"/>
      <c r="B133" s="51" t="s">
        <v>169</v>
      </c>
      <c r="C133" s="12">
        <v>857</v>
      </c>
      <c r="D133" s="12">
        <v>904</v>
      </c>
      <c r="E133" s="11"/>
      <c r="F133" s="11"/>
      <c r="G133" s="6">
        <f>D133+F133-C133-E133</f>
        <v>47</v>
      </c>
      <c r="H133" s="6">
        <f t="shared" si="14"/>
        <v>2.048969841743804</v>
      </c>
      <c r="I133" s="6">
        <f t="shared" si="12"/>
        <v>49.048969841743805</v>
      </c>
      <c r="J133" s="38"/>
    </row>
    <row r="134" spans="1:10" x14ac:dyDescent="0.25">
      <c r="A134" s="144"/>
      <c r="B134" s="51" t="s">
        <v>166</v>
      </c>
      <c r="C134" s="12">
        <v>434</v>
      </c>
      <c r="D134" s="12">
        <v>480</v>
      </c>
      <c r="E134" s="11"/>
      <c r="F134" s="11"/>
      <c r="G134" s="6">
        <f>D134+F134-C134-E134</f>
        <v>46</v>
      </c>
      <c r="H134" s="6">
        <f t="shared" si="14"/>
        <v>2.0053747387279786</v>
      </c>
      <c r="I134" s="6">
        <f t="shared" si="12"/>
        <v>48.00537473872798</v>
      </c>
      <c r="J134" s="38"/>
    </row>
    <row r="135" spans="1:10" x14ac:dyDescent="0.25">
      <c r="A135" s="144"/>
      <c r="B135" s="52" t="s">
        <v>155</v>
      </c>
      <c r="C135" s="53">
        <v>5009</v>
      </c>
      <c r="D135" s="53">
        <v>5338</v>
      </c>
      <c r="E135" s="11"/>
      <c r="F135" s="11"/>
      <c r="G135" s="6">
        <f t="shared" ref="G135:G145" si="16">D135+F135-C135-E135</f>
        <v>329</v>
      </c>
      <c r="H135" s="6">
        <f t="shared" si="14"/>
        <v>14.342788892206629</v>
      </c>
      <c r="I135" s="6">
        <f t="shared" si="12"/>
        <v>343.34278889220661</v>
      </c>
      <c r="J135" s="38"/>
    </row>
    <row r="136" spans="1:10" x14ac:dyDescent="0.25">
      <c r="A136" s="144"/>
      <c r="B136" s="51" t="s">
        <v>167</v>
      </c>
      <c r="C136" s="12">
        <v>1227</v>
      </c>
      <c r="D136" s="12">
        <v>1249</v>
      </c>
      <c r="E136" s="11"/>
      <c r="F136" s="11"/>
      <c r="G136" s="6">
        <f t="shared" si="16"/>
        <v>22</v>
      </c>
      <c r="H136" s="6">
        <f t="shared" si="14"/>
        <v>0.95909226634816358</v>
      </c>
      <c r="I136" s="6">
        <f t="shared" si="12"/>
        <v>22.959092266348165</v>
      </c>
      <c r="J136" s="38"/>
    </row>
    <row r="137" spans="1:10" x14ac:dyDescent="0.25">
      <c r="A137" s="144"/>
      <c r="B137" s="51" t="s">
        <v>150</v>
      </c>
      <c r="C137" s="12">
        <v>5749</v>
      </c>
      <c r="D137" s="12">
        <v>5837</v>
      </c>
      <c r="E137" s="11"/>
      <c r="F137" s="11"/>
      <c r="G137" s="6">
        <f t="shared" si="16"/>
        <v>88</v>
      </c>
      <c r="H137" s="6">
        <f t="shared" si="14"/>
        <v>3.8363690653926543</v>
      </c>
      <c r="I137" s="6">
        <f t="shared" si="12"/>
        <v>91.83636906539266</v>
      </c>
      <c r="J137" s="38"/>
    </row>
    <row r="138" spans="1:10" x14ac:dyDescent="0.25">
      <c r="A138" s="144" t="s">
        <v>151</v>
      </c>
      <c r="B138" s="52" t="s">
        <v>165</v>
      </c>
      <c r="C138" s="53">
        <v>95905</v>
      </c>
      <c r="D138" s="53">
        <v>96264</v>
      </c>
      <c r="E138" s="11"/>
      <c r="F138" s="11"/>
      <c r="G138" s="6">
        <f t="shared" si="16"/>
        <v>359</v>
      </c>
      <c r="H138" s="6">
        <f t="shared" si="14"/>
        <v>15.650641982681398</v>
      </c>
      <c r="I138" s="6">
        <f t="shared" si="12"/>
        <v>374.65064198268141</v>
      </c>
      <c r="J138" s="38"/>
    </row>
    <row r="139" spans="1:10" x14ac:dyDescent="0.25">
      <c r="A139" s="144"/>
      <c r="B139" s="52" t="s">
        <v>154</v>
      </c>
      <c r="C139" s="53">
        <v>40548</v>
      </c>
      <c r="D139" s="53">
        <v>40865</v>
      </c>
      <c r="E139" s="11"/>
      <c r="F139" s="11"/>
      <c r="G139" s="6">
        <f t="shared" si="16"/>
        <v>317</v>
      </c>
      <c r="H139" s="6">
        <f t="shared" si="14"/>
        <v>13.819647656016722</v>
      </c>
      <c r="I139" s="6">
        <f t="shared" si="12"/>
        <v>330.81964765601674</v>
      </c>
      <c r="J139" s="38"/>
    </row>
    <row r="140" spans="1:10" x14ac:dyDescent="0.25">
      <c r="A140" s="144"/>
      <c r="B140" s="52" t="s">
        <v>153</v>
      </c>
      <c r="C140" s="53">
        <v>97861</v>
      </c>
      <c r="D140" s="53">
        <v>97864</v>
      </c>
      <c r="E140" s="11"/>
      <c r="F140" s="11"/>
      <c r="G140" s="6">
        <f t="shared" si="16"/>
        <v>3</v>
      </c>
      <c r="H140" s="6">
        <f t="shared" si="14"/>
        <v>0.13078530904747687</v>
      </c>
      <c r="I140" s="6">
        <f t="shared" si="12"/>
        <v>3.1307853090474769</v>
      </c>
      <c r="J140" s="38"/>
    </row>
    <row r="141" spans="1:10" x14ac:dyDescent="0.25">
      <c r="A141" s="144"/>
      <c r="B141" s="52" t="s">
        <v>156</v>
      </c>
      <c r="C141" s="53">
        <v>12884</v>
      </c>
      <c r="D141" s="53">
        <v>13052</v>
      </c>
      <c r="E141" s="11"/>
      <c r="F141" s="11"/>
      <c r="G141" s="6">
        <f t="shared" si="16"/>
        <v>168</v>
      </c>
      <c r="H141" s="6">
        <f t="shared" si="14"/>
        <v>7.3239773066587039</v>
      </c>
      <c r="I141" s="6">
        <f t="shared" si="12"/>
        <v>175.32397730665869</v>
      </c>
      <c r="J141" s="38"/>
    </row>
    <row r="142" spans="1:10" x14ac:dyDescent="0.25">
      <c r="A142" s="144"/>
      <c r="B142" s="52" t="s">
        <v>152</v>
      </c>
      <c r="C142" s="53">
        <v>18369</v>
      </c>
      <c r="D142" s="53">
        <v>18835</v>
      </c>
      <c r="E142" s="11"/>
      <c r="F142" s="11"/>
      <c r="G142" s="6">
        <f t="shared" si="16"/>
        <v>466</v>
      </c>
      <c r="H142" s="6">
        <f t="shared" ref="H142:H152" si="17">G142*$D$157/$G$153</f>
        <v>20.315318005374738</v>
      </c>
      <c r="I142" s="6">
        <f t="shared" si="12"/>
        <v>486.31531800537476</v>
      </c>
      <c r="J142" s="38"/>
    </row>
    <row r="143" spans="1:10" x14ac:dyDescent="0.25">
      <c r="A143" s="144"/>
      <c r="B143" s="51" t="s">
        <v>129</v>
      </c>
      <c r="C143" s="12">
        <v>229</v>
      </c>
      <c r="D143" s="12">
        <v>232</v>
      </c>
      <c r="E143" s="11"/>
      <c r="F143" s="11"/>
      <c r="G143" s="6">
        <f t="shared" si="16"/>
        <v>3</v>
      </c>
      <c r="H143" s="6">
        <f t="shared" si="17"/>
        <v>0.13078530904747687</v>
      </c>
      <c r="I143" s="6">
        <f t="shared" si="12"/>
        <v>3.1307853090474769</v>
      </c>
      <c r="J143" s="38"/>
    </row>
    <row r="144" spans="1:10" x14ac:dyDescent="0.25">
      <c r="A144" s="144"/>
      <c r="B144" s="51" t="s">
        <v>148</v>
      </c>
      <c r="C144" s="12">
        <v>1916</v>
      </c>
      <c r="D144" s="12">
        <v>1989</v>
      </c>
      <c r="E144" s="11"/>
      <c r="F144" s="11"/>
      <c r="G144" s="6">
        <f>D144+F144-C144-E144</f>
        <v>73</v>
      </c>
      <c r="H144" s="6">
        <f t="shared" si="17"/>
        <v>3.1824425201552704</v>
      </c>
      <c r="I144" s="6">
        <f t="shared" si="12"/>
        <v>76.182442520155277</v>
      </c>
      <c r="J144" s="38"/>
    </row>
    <row r="145" spans="1:10" x14ac:dyDescent="0.25">
      <c r="A145" s="144"/>
      <c r="B145" s="51" t="s">
        <v>145</v>
      </c>
      <c r="C145" s="12">
        <v>343902</v>
      </c>
      <c r="D145" s="12">
        <v>346988</v>
      </c>
      <c r="E145" s="11"/>
      <c r="F145" s="11"/>
      <c r="G145" s="6">
        <f t="shared" si="16"/>
        <v>3086</v>
      </c>
      <c r="H145" s="6">
        <f t="shared" si="17"/>
        <v>134.53448790683785</v>
      </c>
      <c r="I145" s="6">
        <f t="shared" si="12"/>
        <v>3220.534487906838</v>
      </c>
      <c r="J145" s="38"/>
    </row>
    <row r="146" spans="1:10" ht="31.5" x14ac:dyDescent="0.25">
      <c r="A146" s="144"/>
      <c r="B146" s="54" t="s">
        <v>164</v>
      </c>
      <c r="C146" s="12">
        <v>296845</v>
      </c>
      <c r="D146" s="12">
        <v>299522</v>
      </c>
      <c r="E146" s="11"/>
      <c r="F146" s="11"/>
      <c r="G146" s="6">
        <f>D146+F146-C146-E146-G87</f>
        <v>2158</v>
      </c>
      <c r="H146" s="6">
        <f t="shared" si="17"/>
        <v>94.078232308151684</v>
      </c>
      <c r="I146" s="6">
        <f t="shared" ref="I146:I152" si="18">G146+H146</f>
        <v>2252.0782323081517</v>
      </c>
      <c r="J146" s="38"/>
    </row>
    <row r="147" spans="1:10" x14ac:dyDescent="0.25">
      <c r="A147" s="144"/>
      <c r="B147" s="51" t="s">
        <v>146</v>
      </c>
      <c r="C147" s="12">
        <v>535722</v>
      </c>
      <c r="D147" s="12">
        <v>536630</v>
      </c>
      <c r="E147" s="11"/>
      <c r="F147" s="11"/>
      <c r="G147" s="6">
        <f>D147-C147</f>
        <v>908</v>
      </c>
      <c r="H147" s="6">
        <f t="shared" si="17"/>
        <v>39.584353538369662</v>
      </c>
      <c r="I147" s="6">
        <f t="shared" si="18"/>
        <v>947.58435353836967</v>
      </c>
      <c r="J147" s="38"/>
    </row>
    <row r="148" spans="1:10" x14ac:dyDescent="0.25">
      <c r="A148" s="144"/>
      <c r="B148" s="51" t="s">
        <v>147</v>
      </c>
      <c r="C148" s="12">
        <v>509064</v>
      </c>
      <c r="D148" s="12">
        <v>509126</v>
      </c>
      <c r="E148" s="11"/>
      <c r="F148" s="11"/>
      <c r="G148" s="6">
        <f>D148+F148-C148-E148</f>
        <v>62</v>
      </c>
      <c r="H148" s="6">
        <f t="shared" si="17"/>
        <v>2.7028963869811884</v>
      </c>
      <c r="I148" s="6">
        <f t="shared" si="18"/>
        <v>64.702896386981195</v>
      </c>
      <c r="J148" s="38"/>
    </row>
    <row r="149" spans="1:10" x14ac:dyDescent="0.25">
      <c r="A149" s="144"/>
      <c r="B149" s="51" t="s">
        <v>230</v>
      </c>
      <c r="C149" s="12">
        <v>62834</v>
      </c>
      <c r="D149" s="12">
        <v>62840</v>
      </c>
      <c r="E149" s="11"/>
      <c r="F149" s="11"/>
      <c r="G149" s="6">
        <f>D149+F149-C149-E149</f>
        <v>6</v>
      </c>
      <c r="H149" s="6">
        <f t="shared" si="17"/>
        <v>0.26157061809495374</v>
      </c>
      <c r="I149" s="6">
        <f t="shared" si="18"/>
        <v>6.2615706180949537</v>
      </c>
      <c r="J149" s="38"/>
    </row>
    <row r="150" spans="1:10" x14ac:dyDescent="0.25">
      <c r="A150" s="144"/>
      <c r="B150" s="51" t="s">
        <v>132</v>
      </c>
      <c r="C150" s="12">
        <v>41209</v>
      </c>
      <c r="D150" s="12">
        <v>41562</v>
      </c>
      <c r="E150" s="11"/>
      <c r="F150" s="11"/>
      <c r="G150" s="6">
        <f>D150+F150-C150-E150</f>
        <v>353</v>
      </c>
      <c r="H150" s="6">
        <f t="shared" si="17"/>
        <v>15.389071364586444</v>
      </c>
      <c r="I150" s="6">
        <f t="shared" si="18"/>
        <v>368.38907136458647</v>
      </c>
      <c r="J150" s="38"/>
    </row>
    <row r="151" spans="1:10" x14ac:dyDescent="0.25">
      <c r="A151" s="144"/>
      <c r="B151" s="51" t="s">
        <v>143</v>
      </c>
      <c r="C151" s="12">
        <v>5528</v>
      </c>
      <c r="D151" s="12">
        <v>5648</v>
      </c>
      <c r="E151" s="11"/>
      <c r="F151" s="11"/>
      <c r="G151" s="6">
        <f>D151+F151-C151-E151</f>
        <v>120</v>
      </c>
      <c r="H151" s="6">
        <f t="shared" si="17"/>
        <v>5.231412361899074</v>
      </c>
      <c r="I151" s="6">
        <f t="shared" si="18"/>
        <v>125.23141236189907</v>
      </c>
      <c r="J151" s="38"/>
    </row>
    <row r="152" spans="1:10" x14ac:dyDescent="0.25">
      <c r="A152" s="142"/>
      <c r="B152" s="55" t="s">
        <v>231</v>
      </c>
      <c r="C152" s="53">
        <v>17</v>
      </c>
      <c r="D152" s="53">
        <v>17</v>
      </c>
      <c r="E152" s="11"/>
      <c r="F152" s="11"/>
      <c r="G152" s="6">
        <f>D152+F152-C152-E152</f>
        <v>0</v>
      </c>
      <c r="H152" s="6">
        <f t="shared" si="17"/>
        <v>0</v>
      </c>
      <c r="I152" s="6">
        <f t="shared" si="18"/>
        <v>0</v>
      </c>
      <c r="J152" s="38"/>
    </row>
    <row r="153" spans="1:10" x14ac:dyDescent="0.25">
      <c r="A153" s="29"/>
      <c r="B153" s="26" t="s">
        <v>7</v>
      </c>
      <c r="C153" s="7"/>
      <c r="D153" s="7"/>
      <c r="E153" s="7"/>
      <c r="F153" s="7"/>
      <c r="G153" s="16">
        <f>SUM(G15:G152)</f>
        <v>40188</v>
      </c>
      <c r="H153" s="16">
        <f>SUM(H15:H152)</f>
        <v>1752.0000000000002</v>
      </c>
      <c r="I153" s="16">
        <f>SUM(I15:I152)</f>
        <v>41940.000000000051</v>
      </c>
    </row>
    <row r="154" spans="1:10" x14ac:dyDescent="0.25">
      <c r="D154" s="17"/>
      <c r="F154" s="17"/>
      <c r="G154" s="18"/>
      <c r="H154" s="18"/>
      <c r="I154" s="18"/>
    </row>
    <row r="155" spans="1:10" x14ac:dyDescent="0.25">
      <c r="A155" s="56" t="s">
        <v>8</v>
      </c>
      <c r="B155" s="21" t="s">
        <v>33</v>
      </c>
      <c r="G155" s="25" t="s">
        <v>34</v>
      </c>
      <c r="H155" s="57">
        <f>G153</f>
        <v>40188</v>
      </c>
    </row>
    <row r="156" spans="1:10" ht="38.450000000000003" customHeight="1" x14ac:dyDescent="0.25">
      <c r="A156" s="56" t="s">
        <v>8</v>
      </c>
      <c r="B156" s="149" t="s">
        <v>9</v>
      </c>
      <c r="C156" s="149"/>
      <c r="D156" s="149"/>
      <c r="E156" s="149"/>
      <c r="F156" s="149"/>
      <c r="G156" s="149"/>
      <c r="H156" s="149"/>
      <c r="I156" s="149"/>
    </row>
    <row r="157" spans="1:10" x14ac:dyDescent="0.25">
      <c r="C157" s="32" t="s">
        <v>15</v>
      </c>
      <c r="D157" s="58">
        <f>H10-G153</f>
        <v>1752</v>
      </c>
      <c r="F157" s="58"/>
      <c r="I157" s="25"/>
      <c r="J157" s="57"/>
    </row>
    <row r="158" spans="1:10" x14ac:dyDescent="0.25">
      <c r="A158" s="56" t="s">
        <v>8</v>
      </c>
      <c r="B158" s="149" t="s">
        <v>170</v>
      </c>
      <c r="C158" s="149"/>
      <c r="D158" s="149"/>
      <c r="E158" s="149"/>
      <c r="F158" s="149"/>
      <c r="G158" s="149"/>
      <c r="H158" s="149"/>
      <c r="I158" s="149"/>
    </row>
    <row r="159" spans="1:10" ht="12.6" customHeight="1" x14ac:dyDescent="0.25">
      <c r="A159" s="56"/>
      <c r="B159" s="59"/>
      <c r="C159" s="60"/>
      <c r="D159" s="60"/>
      <c r="E159" s="60"/>
      <c r="F159" s="60"/>
      <c r="G159" s="59"/>
      <c r="H159" s="59"/>
      <c r="I159" s="59"/>
    </row>
    <row r="160" spans="1:10" x14ac:dyDescent="0.25">
      <c r="B160" s="24" t="s">
        <v>200</v>
      </c>
      <c r="C160" s="25"/>
      <c r="D160" s="25"/>
      <c r="E160" s="25"/>
      <c r="F160" s="25"/>
      <c r="G160" s="24"/>
      <c r="H160" s="24"/>
      <c r="I160" s="24"/>
    </row>
    <row r="161" spans="1:11" ht="34.9" customHeight="1" x14ac:dyDescent="0.25">
      <c r="A161" s="56" t="s">
        <v>8</v>
      </c>
      <c r="B161" s="148" t="s">
        <v>201</v>
      </c>
      <c r="C161" s="149"/>
      <c r="D161" s="149"/>
      <c r="E161" s="149"/>
      <c r="F161" s="61"/>
      <c r="G161" s="62">
        <f>I137</f>
        <v>91.83636906539266</v>
      </c>
      <c r="H161" s="61"/>
      <c r="I161" s="61"/>
    </row>
    <row r="162" spans="1:11" ht="42" customHeight="1" x14ac:dyDescent="0.25">
      <c r="A162" s="56" t="s">
        <v>8</v>
      </c>
      <c r="B162" s="148" t="s">
        <v>206</v>
      </c>
      <c r="C162" s="149"/>
      <c r="D162" s="149"/>
      <c r="E162" s="149"/>
      <c r="F162" s="61"/>
      <c r="G162" s="62">
        <f>I145+I146+I147</f>
        <v>6420.1970737533593</v>
      </c>
      <c r="H162" s="61"/>
      <c r="I162" s="61"/>
    </row>
    <row r="163" spans="1:11" ht="87.6" customHeight="1" x14ac:dyDescent="0.25">
      <c r="A163" s="34" t="s">
        <v>0</v>
      </c>
      <c r="B163" s="35" t="s">
        <v>1</v>
      </c>
      <c r="C163" s="34" t="s">
        <v>172</v>
      </c>
      <c r="D163" s="36" t="s">
        <v>173</v>
      </c>
      <c r="E163" s="161" t="s">
        <v>12</v>
      </c>
      <c r="F163" s="161"/>
      <c r="G163" s="161"/>
      <c r="H163" s="162" t="s">
        <v>334</v>
      </c>
      <c r="I163" s="162"/>
    </row>
    <row r="164" spans="1:11" x14ac:dyDescent="0.25">
      <c r="A164" s="63">
        <v>1</v>
      </c>
      <c r="B164" s="64" t="s">
        <v>174</v>
      </c>
      <c r="C164" s="7"/>
      <c r="D164" s="7">
        <f>G162*30%</f>
        <v>1926.0591221260077</v>
      </c>
      <c r="E164" s="150" t="s">
        <v>175</v>
      </c>
      <c r="F164" s="150"/>
      <c r="G164" s="150"/>
      <c r="H164" s="160"/>
      <c r="I164" s="160"/>
    </row>
    <row r="165" spans="1:11" x14ac:dyDescent="0.25">
      <c r="A165" s="63">
        <v>2</v>
      </c>
      <c r="B165" s="29" t="s">
        <v>171</v>
      </c>
      <c r="C165" s="7">
        <v>251</v>
      </c>
      <c r="D165" s="7">
        <f>C165*($G$162-$D$164)/$C$170</f>
        <v>2025.1860428338694</v>
      </c>
      <c r="E165" s="151" t="s">
        <v>176</v>
      </c>
      <c r="F165" s="152"/>
      <c r="G165" s="153"/>
      <c r="H165" s="160"/>
      <c r="I165" s="160"/>
    </row>
    <row r="166" spans="1:11" x14ac:dyDescent="0.25">
      <c r="A166" s="63">
        <v>3</v>
      </c>
      <c r="B166" s="29" t="s">
        <v>125</v>
      </c>
      <c r="C166" s="7">
        <v>149</v>
      </c>
      <c r="D166" s="7">
        <f>C166*($G$162-$D$164)/$C$170</f>
        <v>1202.202073236042</v>
      </c>
      <c r="E166" s="154"/>
      <c r="F166" s="155"/>
      <c r="G166" s="156"/>
      <c r="H166" s="162"/>
      <c r="I166" s="162"/>
    </row>
    <row r="167" spans="1:11" x14ac:dyDescent="0.25">
      <c r="A167" s="63">
        <v>4</v>
      </c>
      <c r="B167" s="29" t="s">
        <v>126</v>
      </c>
      <c r="C167" s="7">
        <v>109</v>
      </c>
      <c r="D167" s="7">
        <f>C167*($G$162-$D$164)/$C$170</f>
        <v>879.46326162905086</v>
      </c>
      <c r="E167" s="157"/>
      <c r="F167" s="158"/>
      <c r="G167" s="159"/>
      <c r="H167" s="160"/>
      <c r="I167" s="162"/>
    </row>
    <row r="168" spans="1:11" x14ac:dyDescent="0.25">
      <c r="A168" s="63">
        <v>5</v>
      </c>
      <c r="B168" s="29" t="s">
        <v>297</v>
      </c>
      <c r="C168" s="7">
        <v>18</v>
      </c>
      <c r="D168" s="7">
        <f>C168*($G$162-$D$164)/$C$170</f>
        <v>145.23246522314602</v>
      </c>
      <c r="E168" s="121"/>
      <c r="F168" s="122"/>
      <c r="G168" s="123"/>
      <c r="H168" s="124"/>
      <c r="I168" s="125"/>
      <c r="J168" s="101">
        <f>D170-D164</f>
        <v>4494.1379516273519</v>
      </c>
      <c r="K168" s="101">
        <f>J168*0.02</f>
        <v>89.882759032547042</v>
      </c>
    </row>
    <row r="169" spans="1:11" x14ac:dyDescent="0.25">
      <c r="A169" s="63">
        <v>6</v>
      </c>
      <c r="B169" s="29" t="s">
        <v>333</v>
      </c>
      <c r="C169" s="7">
        <v>30</v>
      </c>
      <c r="D169" s="7">
        <f>C169*($G$162-$D$164)/$C$170</f>
        <v>242.05410870524341</v>
      </c>
      <c r="E169" s="135"/>
      <c r="F169" s="136"/>
      <c r="G169" s="137"/>
      <c r="H169" s="138"/>
      <c r="I169" s="139"/>
      <c r="J169" s="101"/>
      <c r="K169" s="101"/>
    </row>
    <row r="170" spans="1:11" x14ac:dyDescent="0.25">
      <c r="A170" s="65"/>
      <c r="B170" s="64" t="s">
        <v>7</v>
      </c>
      <c r="C170" s="19">
        <f>SUM(C164:C169)</f>
        <v>557</v>
      </c>
      <c r="D170" s="19">
        <f>SUM(D164:D169)</f>
        <v>6420.1970737533593</v>
      </c>
      <c r="E170" s="150"/>
      <c r="F170" s="150"/>
      <c r="G170" s="150"/>
      <c r="H170" s="162"/>
      <c r="I170" s="162"/>
    </row>
    <row r="171" spans="1:11" x14ac:dyDescent="0.25">
      <c r="A171" s="56"/>
      <c r="B171" s="59"/>
      <c r="C171" s="20"/>
      <c r="D171" s="60"/>
      <c r="E171" s="20"/>
      <c r="F171" s="60"/>
      <c r="G171" s="66"/>
      <c r="I171" s="66"/>
    </row>
  </sheetData>
  <mergeCells count="46">
    <mergeCell ref="E170:G170"/>
    <mergeCell ref="E165:G167"/>
    <mergeCell ref="B162:E162"/>
    <mergeCell ref="H164:I164"/>
    <mergeCell ref="E164:G164"/>
    <mergeCell ref="E163:G163"/>
    <mergeCell ref="H170:I170"/>
    <mergeCell ref="H165:I165"/>
    <mergeCell ref="H163:I163"/>
    <mergeCell ref="H166:I166"/>
    <mergeCell ref="H167:I167"/>
    <mergeCell ref="B161:E161"/>
    <mergeCell ref="A94:A95"/>
    <mergeCell ref="A96:A98"/>
    <mergeCell ref="A107:A113"/>
    <mergeCell ref="B156:I156"/>
    <mergeCell ref="B158:I158"/>
    <mergeCell ref="A115:A137"/>
    <mergeCell ref="A138:A152"/>
    <mergeCell ref="A41:A43"/>
    <mergeCell ref="A53:A56"/>
    <mergeCell ref="A44:A47"/>
    <mergeCell ref="A48:A49"/>
    <mergeCell ref="A100:A106"/>
    <mergeCell ref="A58:A61"/>
    <mergeCell ref="A63:A64"/>
    <mergeCell ref="A65:A66"/>
    <mergeCell ref="A67:A69"/>
    <mergeCell ref="A70:A73"/>
    <mergeCell ref="A85:A87"/>
    <mergeCell ref="A88:A90"/>
    <mergeCell ref="A91:A92"/>
    <mergeCell ref="A82:A84"/>
    <mergeCell ref="A77:A81"/>
    <mergeCell ref="A1:J1"/>
    <mergeCell ref="A2:J2"/>
    <mergeCell ref="A39:A40"/>
    <mergeCell ref="C12:D12"/>
    <mergeCell ref="A15:A20"/>
    <mergeCell ref="A22:A24"/>
    <mergeCell ref="E12:F12"/>
    <mergeCell ref="A25:A27"/>
    <mergeCell ref="A28:A32"/>
    <mergeCell ref="A33:A34"/>
    <mergeCell ref="A35:A36"/>
    <mergeCell ref="A37:A38"/>
  </mergeCells>
  <phoneticPr fontId="13" type="noConversion"/>
  <pageMargins left="0.196850393700787" right="0.27559055118110198" top="0.74803149606299202" bottom="0.31496062992126" header="0.31496062992126" footer="0.31496062992126"/>
  <pageSetup paperSize="9" scale="72" orientation="landscape" verticalDpi="300" r:id="rId1"/>
  <rowBreaks count="6" manualBreakCount="6">
    <brk id="27" max="8" man="1"/>
    <brk id="52" max="8" man="1"/>
    <brk id="81" max="8" man="1"/>
    <brk id="105" max="8" man="1"/>
    <brk id="136" max="8" man="1"/>
    <brk id="15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101"/>
  <sheetViews>
    <sheetView tabSelected="1" view="pageBreakPreview" zoomScale="70" zoomScaleNormal="85" zoomScaleSheetLayoutView="70" workbookViewId="0">
      <pane ySplit="7" topLeftCell="A77" activePane="bottomLeft" state="frozen"/>
      <selection pane="bottomLeft" activeCell="R95" sqref="R95:W95"/>
    </sheetView>
  </sheetViews>
  <sheetFormatPr defaultColWidth="8.85546875" defaultRowHeight="18.75" x14ac:dyDescent="0.3"/>
  <cols>
    <col min="1" max="1" width="0.7109375" style="1" customWidth="1"/>
    <col min="2" max="2" width="5.5703125" style="8" customWidth="1"/>
    <col min="3" max="3" width="17.85546875" style="8" customWidth="1"/>
    <col min="4" max="4" width="19.85546875" style="95" customWidth="1"/>
    <col min="5" max="6" width="5.7109375" style="1" customWidth="1"/>
    <col min="7" max="7" width="6.28515625" style="1" customWidth="1"/>
    <col min="8" max="8" width="6.42578125" style="1" customWidth="1"/>
    <col min="9" max="9" width="7.42578125" style="1" customWidth="1"/>
    <col min="10" max="10" width="8" style="1" customWidth="1"/>
    <col min="11" max="11" width="10.42578125" style="1" customWidth="1"/>
    <col min="12" max="14" width="9.5703125" style="1" customWidth="1"/>
    <col min="15" max="15" width="10.28515625" style="1" customWidth="1"/>
    <col min="16" max="16" width="7.7109375" style="1" customWidth="1"/>
    <col min="17" max="17" width="10.28515625" style="1" customWidth="1"/>
    <col min="18" max="18" width="8.7109375" style="1" customWidth="1"/>
    <col min="19" max="19" width="9.5703125" style="1" customWidth="1"/>
    <col min="20" max="20" width="15.140625" style="1" customWidth="1"/>
    <col min="21" max="21" width="13.7109375" style="99" customWidth="1"/>
    <col min="22" max="22" width="23" style="131" customWidth="1"/>
    <col min="23" max="23" width="15.85546875" style="1" customWidth="1"/>
    <col min="24" max="24" width="24" style="1" customWidth="1"/>
    <col min="25" max="16384" width="8.85546875" style="1"/>
  </cols>
  <sheetData>
    <row r="1" spans="1:25" x14ac:dyDescent="0.3">
      <c r="A1" s="222" t="s">
        <v>258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</row>
    <row r="2" spans="1:25" x14ac:dyDescent="0.3">
      <c r="A2" s="222" t="s">
        <v>338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</row>
    <row r="4" spans="1:25" x14ac:dyDescent="0.3">
      <c r="D4" s="93" t="s">
        <v>35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98"/>
      <c r="V4" s="130"/>
      <c r="W4" s="3"/>
    </row>
    <row r="5" spans="1:25" x14ac:dyDescent="0.3">
      <c r="B5" s="9"/>
      <c r="C5" s="92"/>
      <c r="D5" s="93"/>
      <c r="E5" s="3"/>
      <c r="F5" s="3"/>
      <c r="G5" s="3"/>
      <c r="H5" s="3"/>
      <c r="I5" s="3"/>
      <c r="J5" s="3"/>
    </row>
    <row r="6" spans="1:25" s="2" customFormat="1" ht="42.6" customHeight="1" x14ac:dyDescent="0.25">
      <c r="B6" s="207" t="s">
        <v>0</v>
      </c>
      <c r="C6" s="201" t="s">
        <v>18</v>
      </c>
      <c r="D6" s="202"/>
      <c r="E6" s="224" t="s">
        <v>21</v>
      </c>
      <c r="F6" s="224"/>
      <c r="G6" s="224"/>
      <c r="H6" s="224"/>
      <c r="I6" s="224"/>
      <c r="J6" s="223" t="s">
        <v>20</v>
      </c>
      <c r="K6" s="225" t="s">
        <v>22</v>
      </c>
      <c r="L6" s="226"/>
      <c r="M6" s="227"/>
      <c r="N6" s="223" t="s">
        <v>25</v>
      </c>
      <c r="O6" s="224" t="s">
        <v>23</v>
      </c>
      <c r="P6" s="224"/>
      <c r="Q6" s="224"/>
      <c r="R6" s="223" t="s">
        <v>27</v>
      </c>
      <c r="S6" s="223" t="s">
        <v>207</v>
      </c>
      <c r="T6" s="223" t="s">
        <v>208</v>
      </c>
      <c r="U6" s="207" t="s">
        <v>161</v>
      </c>
      <c r="V6" s="207" t="s">
        <v>233</v>
      </c>
      <c r="W6" s="223" t="s">
        <v>209</v>
      </c>
      <c r="X6" s="5"/>
    </row>
    <row r="7" spans="1:25" s="2" customFormat="1" ht="123" customHeight="1" x14ac:dyDescent="0.25">
      <c r="B7" s="208"/>
      <c r="C7" s="203"/>
      <c r="D7" s="204"/>
      <c r="E7" s="90" t="s">
        <v>29</v>
      </c>
      <c r="F7" s="90" t="s">
        <v>28</v>
      </c>
      <c r="G7" s="90" t="s">
        <v>16</v>
      </c>
      <c r="H7" s="90" t="s">
        <v>17</v>
      </c>
      <c r="I7" s="90" t="s">
        <v>19</v>
      </c>
      <c r="J7" s="223"/>
      <c r="K7" s="90" t="s">
        <v>203</v>
      </c>
      <c r="L7" s="90" t="s">
        <v>26</v>
      </c>
      <c r="M7" s="90" t="s">
        <v>259</v>
      </c>
      <c r="N7" s="223"/>
      <c r="O7" s="90" t="s">
        <v>24</v>
      </c>
      <c r="P7" s="90" t="s">
        <v>177</v>
      </c>
      <c r="Q7" s="90" t="s">
        <v>7</v>
      </c>
      <c r="R7" s="223"/>
      <c r="S7" s="223"/>
      <c r="T7" s="223"/>
      <c r="U7" s="208"/>
      <c r="V7" s="208"/>
      <c r="W7" s="223"/>
      <c r="X7" s="5"/>
      <c r="Y7" s="2" t="s">
        <v>286</v>
      </c>
    </row>
    <row r="8" spans="1:25" s="5" customFormat="1" ht="31.5" x14ac:dyDescent="0.25">
      <c r="B8" s="67"/>
      <c r="C8" s="165"/>
      <c r="D8" s="166"/>
      <c r="E8" s="68"/>
      <c r="F8" s="68"/>
      <c r="G8" s="68"/>
      <c r="H8" s="68"/>
      <c r="I8" s="69" t="s">
        <v>10</v>
      </c>
      <c r="J8" s="69" t="s">
        <v>11</v>
      </c>
      <c r="K8" s="69" t="s">
        <v>205</v>
      </c>
      <c r="L8" s="69" t="s">
        <v>204</v>
      </c>
      <c r="M8" s="69" t="s">
        <v>260</v>
      </c>
      <c r="N8" s="69" t="s">
        <v>261</v>
      </c>
      <c r="O8" s="70"/>
      <c r="P8" s="71">
        <f>Sheet1!D165</f>
        <v>2025.1860428338694</v>
      </c>
      <c r="Q8" s="70"/>
      <c r="R8" s="70"/>
      <c r="S8" s="72">
        <v>2336.4</v>
      </c>
      <c r="T8" s="70"/>
      <c r="U8" s="86"/>
      <c r="V8" s="86"/>
      <c r="W8" s="70"/>
    </row>
    <row r="9" spans="1:25" ht="27" customHeight="1" x14ac:dyDescent="0.3">
      <c r="B9" s="73" t="s">
        <v>215</v>
      </c>
      <c r="C9" s="205" t="s">
        <v>216</v>
      </c>
      <c r="D9" s="206"/>
      <c r="E9" s="75"/>
      <c r="F9" s="76"/>
      <c r="G9" s="75"/>
      <c r="H9" s="75"/>
      <c r="I9" s="77"/>
      <c r="J9" s="78"/>
      <c r="K9" s="79"/>
      <c r="L9" s="80"/>
      <c r="M9" s="80"/>
      <c r="N9" s="81"/>
      <c r="O9" s="82"/>
      <c r="P9" s="82"/>
      <c r="Q9" s="82"/>
      <c r="R9" s="81"/>
      <c r="S9" s="81"/>
      <c r="T9" s="81"/>
      <c r="U9" s="96"/>
      <c r="V9" s="96"/>
      <c r="W9" s="81"/>
      <c r="X9" s="103"/>
    </row>
    <row r="10" spans="1:25" ht="27" customHeight="1" x14ac:dyDescent="0.3">
      <c r="B10" s="67">
        <v>1</v>
      </c>
      <c r="C10" s="181" t="s">
        <v>315</v>
      </c>
      <c r="D10" s="182"/>
      <c r="E10" s="75">
        <v>1</v>
      </c>
      <c r="F10" s="76"/>
      <c r="G10" s="75"/>
      <c r="H10" s="75"/>
      <c r="I10" s="77">
        <f>E10*115+F10*38+G10*28+H10*11</f>
        <v>115</v>
      </c>
      <c r="J10" s="83">
        <f>SUM(E10:H10)*6.3</f>
        <v>6.3</v>
      </c>
      <c r="K10" s="84">
        <f>(I10+J10)*5%</f>
        <v>6.0650000000000004</v>
      </c>
      <c r="L10" s="84">
        <f>(I10+J10)*10%</f>
        <v>12.13</v>
      </c>
      <c r="M10" s="84"/>
      <c r="N10" s="81">
        <f>I10+J10-K10-L10-M10</f>
        <v>103.105</v>
      </c>
      <c r="O10" s="82">
        <f>Sheet1!I22</f>
        <v>103.31591519856674</v>
      </c>
      <c r="P10" s="70">
        <f t="shared" ref="P10:P43" si="0">SUM(E10:H10)*$P$8/$P$92</f>
        <v>10.54784397309307</v>
      </c>
      <c r="Q10" s="106">
        <f t="shared" ref="Q10:Q43" si="1">SUM(O10:P10)</f>
        <v>113.86375917165981</v>
      </c>
      <c r="R10" s="81">
        <f t="shared" ref="R10:R43" si="2">Q10-N10</f>
        <v>10.758759171659804</v>
      </c>
      <c r="S10" s="81">
        <f>$S$8</f>
        <v>2336.4</v>
      </c>
      <c r="T10" s="81">
        <f>R10*S10</f>
        <v>25136.764928665969</v>
      </c>
      <c r="U10" s="96">
        <f>T10</f>
        <v>25136.764928665969</v>
      </c>
      <c r="V10" s="96" t="s">
        <v>321</v>
      </c>
      <c r="W10" s="81"/>
      <c r="X10" s="103"/>
    </row>
    <row r="11" spans="1:25" ht="27" customHeight="1" x14ac:dyDescent="0.3">
      <c r="B11" s="67">
        <v>2</v>
      </c>
      <c r="C11" s="181" t="s">
        <v>327</v>
      </c>
      <c r="D11" s="182"/>
      <c r="E11" s="75">
        <v>1</v>
      </c>
      <c r="F11" s="76"/>
      <c r="G11" s="75"/>
      <c r="H11" s="75"/>
      <c r="I11" s="77">
        <f t="shared" ref="I11:I91" si="3">E11*115+F11*38+G11*28+H11*11</f>
        <v>115</v>
      </c>
      <c r="J11" s="83">
        <f t="shared" ref="J11:J91" si="4">SUM(E11:H11)*6.3</f>
        <v>6.3</v>
      </c>
      <c r="K11" s="84">
        <f t="shared" ref="K11:K42" si="5">(I11+J11)*5%</f>
        <v>6.0650000000000004</v>
      </c>
      <c r="L11" s="84">
        <f t="shared" ref="L11:L43" si="6">(I11+J11)*10%</f>
        <v>12.13</v>
      </c>
      <c r="M11" s="84"/>
      <c r="N11" s="81">
        <f t="shared" ref="N11:N43" si="7">I11+J11-K11-L11-M11</f>
        <v>103.105</v>
      </c>
      <c r="O11" s="82">
        <f>Sheet1!I23</f>
        <v>130.44938787697819</v>
      </c>
      <c r="P11" s="70">
        <f t="shared" si="0"/>
        <v>10.54784397309307</v>
      </c>
      <c r="Q11" s="82">
        <f t="shared" si="1"/>
        <v>140.99723185007127</v>
      </c>
      <c r="R11" s="81">
        <f t="shared" si="2"/>
        <v>37.892231850071269</v>
      </c>
      <c r="S11" s="81">
        <f t="shared" ref="S11:S91" si="8">$S$8</f>
        <v>2336.4</v>
      </c>
      <c r="T11" s="81">
        <f t="shared" ref="T11:T42" si="9">R11*S11</f>
        <v>88531.410494506519</v>
      </c>
      <c r="U11" s="96">
        <f>T11</f>
        <v>88531.410494506519</v>
      </c>
      <c r="V11" s="96" t="s">
        <v>339</v>
      </c>
      <c r="W11" s="81"/>
      <c r="X11" s="103"/>
    </row>
    <row r="12" spans="1:25" ht="44.25" customHeight="1" x14ac:dyDescent="0.3">
      <c r="B12" s="67">
        <v>3</v>
      </c>
      <c r="C12" s="181" t="s">
        <v>47</v>
      </c>
      <c r="D12" s="182"/>
      <c r="E12" s="85">
        <v>1</v>
      </c>
      <c r="F12" s="85"/>
      <c r="G12" s="85"/>
      <c r="H12" s="85"/>
      <c r="I12" s="77">
        <f t="shared" si="3"/>
        <v>115</v>
      </c>
      <c r="J12" s="83">
        <f t="shared" si="4"/>
        <v>6.3</v>
      </c>
      <c r="K12" s="84">
        <f t="shared" si="5"/>
        <v>6.0650000000000004</v>
      </c>
      <c r="L12" s="84">
        <f t="shared" si="6"/>
        <v>12.13</v>
      </c>
      <c r="M12" s="84"/>
      <c r="N12" s="81">
        <f t="shared" si="7"/>
        <v>103.105</v>
      </c>
      <c r="O12" s="82">
        <f>Sheet1!I24</f>
        <v>105.40310540459839</v>
      </c>
      <c r="P12" s="70">
        <f t="shared" si="0"/>
        <v>10.54784397309307</v>
      </c>
      <c r="Q12" s="82">
        <f t="shared" si="1"/>
        <v>115.95094937769146</v>
      </c>
      <c r="R12" s="81">
        <f t="shared" si="2"/>
        <v>12.845949377691454</v>
      </c>
      <c r="S12" s="81">
        <f>$S$8</f>
        <v>2336.4</v>
      </c>
      <c r="T12" s="81">
        <v>82704</v>
      </c>
      <c r="U12" s="96">
        <v>82704</v>
      </c>
      <c r="V12" s="96" t="s">
        <v>234</v>
      </c>
      <c r="W12" s="127"/>
      <c r="X12" s="103"/>
    </row>
    <row r="13" spans="1:25" ht="27" customHeight="1" x14ac:dyDescent="0.3">
      <c r="B13" s="218">
        <v>4</v>
      </c>
      <c r="C13" s="212" t="s">
        <v>81</v>
      </c>
      <c r="D13" s="41" t="s">
        <v>307</v>
      </c>
      <c r="E13" s="85"/>
      <c r="F13" s="85">
        <v>1</v>
      </c>
      <c r="G13" s="85"/>
      <c r="H13" s="85">
        <v>1</v>
      </c>
      <c r="I13" s="77">
        <f t="shared" si="3"/>
        <v>49</v>
      </c>
      <c r="J13" s="83">
        <f t="shared" si="4"/>
        <v>12.6</v>
      </c>
      <c r="K13" s="84">
        <f t="shared" si="5"/>
        <v>3.08</v>
      </c>
      <c r="L13" s="84">
        <f t="shared" si="6"/>
        <v>6.16</v>
      </c>
      <c r="M13" s="84">
        <f t="shared" ref="M13:M41" si="10">SUM(E13:H13)*2</f>
        <v>4</v>
      </c>
      <c r="N13" s="81">
        <f t="shared" si="7"/>
        <v>48.36</v>
      </c>
      <c r="O13" s="82">
        <f>Sheet1!I25</f>
        <v>113.75186622872499</v>
      </c>
      <c r="P13" s="70">
        <f t="shared" si="0"/>
        <v>21.095687946186139</v>
      </c>
      <c r="Q13" s="82">
        <f t="shared" si="1"/>
        <v>134.84755417491112</v>
      </c>
      <c r="R13" s="81">
        <f t="shared" si="2"/>
        <v>86.487554174911125</v>
      </c>
      <c r="S13" s="81">
        <f t="shared" si="8"/>
        <v>2336.4</v>
      </c>
      <c r="T13" s="81">
        <f t="shared" si="9"/>
        <v>202069.52157426235</v>
      </c>
      <c r="U13" s="167">
        <f>T13+T14+T15</f>
        <v>1808168.8362444658</v>
      </c>
      <c r="V13" s="167" t="s">
        <v>235</v>
      </c>
      <c r="W13" s="167"/>
      <c r="X13" s="104">
        <f>T13+T14+T15</f>
        <v>1808168.8362444658</v>
      </c>
    </row>
    <row r="14" spans="1:25" ht="27" customHeight="1" x14ac:dyDescent="0.3">
      <c r="B14" s="219"/>
      <c r="C14" s="213"/>
      <c r="D14" s="41" t="s">
        <v>332</v>
      </c>
      <c r="E14" s="85"/>
      <c r="F14" s="85">
        <v>2</v>
      </c>
      <c r="G14" s="85"/>
      <c r="H14" s="85"/>
      <c r="I14" s="77">
        <f>E14*115+F14*38+G14*28+H14*11</f>
        <v>76</v>
      </c>
      <c r="J14" s="83">
        <f>SUM(E14:H14)*6.3</f>
        <v>12.6</v>
      </c>
      <c r="K14" s="84">
        <f>(I14+J14)*5%</f>
        <v>4.43</v>
      </c>
      <c r="L14" s="84">
        <f>(I14+J14)*10%</f>
        <v>8.86</v>
      </c>
      <c r="M14" s="84">
        <f t="shared" si="10"/>
        <v>4</v>
      </c>
      <c r="N14" s="81">
        <f>I14+J14-K14-L14-M14</f>
        <v>71.309999999999988</v>
      </c>
      <c r="O14" s="82">
        <f>Sheet1!I26</f>
        <v>542.6694535682293</v>
      </c>
      <c r="P14" s="70">
        <f t="shared" si="0"/>
        <v>21.095687946186139</v>
      </c>
      <c r="Q14" s="82">
        <f>SUM(O14:P14)</f>
        <v>563.7651415144154</v>
      </c>
      <c r="R14" s="81">
        <f t="shared" ref="R14:R20" si="11">Q14-N14</f>
        <v>492.4551415144154</v>
      </c>
      <c r="S14" s="81">
        <f t="shared" si="8"/>
        <v>2336.4</v>
      </c>
      <c r="T14" s="81">
        <f>R14*S14</f>
        <v>1150572.1926342803</v>
      </c>
      <c r="U14" s="168"/>
      <c r="V14" s="168"/>
      <c r="W14" s="168"/>
      <c r="X14" s="103"/>
    </row>
    <row r="15" spans="1:25" ht="27" customHeight="1" x14ac:dyDescent="0.3">
      <c r="B15" s="220"/>
      <c r="C15" s="214"/>
      <c r="D15" s="41" t="s">
        <v>340</v>
      </c>
      <c r="E15" s="85"/>
      <c r="F15" s="85">
        <v>3</v>
      </c>
      <c r="G15" s="85"/>
      <c r="H15" s="85"/>
      <c r="I15" s="77">
        <f>E15*115+F15*38+G15*28+H15*11</f>
        <v>114</v>
      </c>
      <c r="J15" s="83">
        <f>SUM(E15:H15)*6.3</f>
        <v>18.899999999999999</v>
      </c>
      <c r="K15" s="84">
        <f>(I15+J15)*5%</f>
        <v>6.6450000000000005</v>
      </c>
      <c r="L15" s="84">
        <f>(I15+J15)*10%</f>
        <v>13.290000000000001</v>
      </c>
      <c r="M15" s="84">
        <f t="shared" si="10"/>
        <v>6</v>
      </c>
      <c r="N15" s="81">
        <f>I15+J15-K15-L15-M15</f>
        <v>106.965</v>
      </c>
      <c r="O15" s="82">
        <f>Sheet1!I27</f>
        <v>270.29113168109882</v>
      </c>
      <c r="P15" s="70">
        <f t="shared" si="0"/>
        <v>31.643531919279209</v>
      </c>
      <c r="Q15" s="82">
        <f>SUM(O15:P15)</f>
        <v>301.93466360037803</v>
      </c>
      <c r="R15" s="81">
        <f t="shared" si="11"/>
        <v>194.96966360037803</v>
      </c>
      <c r="S15" s="81">
        <f t="shared" si="8"/>
        <v>2336.4</v>
      </c>
      <c r="T15" s="81">
        <f>R15*S15</f>
        <v>455527.12203592324</v>
      </c>
      <c r="U15" s="169"/>
      <c r="V15" s="169"/>
      <c r="W15" s="169"/>
      <c r="X15" s="103"/>
    </row>
    <row r="16" spans="1:25" s="107" customFormat="1" ht="27" customHeight="1" x14ac:dyDescent="0.25">
      <c r="B16" s="228">
        <v>5</v>
      </c>
      <c r="C16" s="215" t="s">
        <v>178</v>
      </c>
      <c r="D16" s="108" t="s">
        <v>308</v>
      </c>
      <c r="E16" s="109"/>
      <c r="F16" s="109">
        <v>2</v>
      </c>
      <c r="G16" s="109"/>
      <c r="H16" s="109"/>
      <c r="I16" s="110">
        <f t="shared" si="3"/>
        <v>76</v>
      </c>
      <c r="J16" s="111">
        <f t="shared" si="4"/>
        <v>12.6</v>
      </c>
      <c r="K16" s="112">
        <f t="shared" si="5"/>
        <v>4.43</v>
      </c>
      <c r="L16" s="112">
        <f t="shared" si="6"/>
        <v>8.86</v>
      </c>
      <c r="M16" s="112">
        <f t="shared" si="10"/>
        <v>4</v>
      </c>
      <c r="N16" s="113">
        <f t="shared" si="7"/>
        <v>71.309999999999988</v>
      </c>
      <c r="O16" s="114">
        <f>Sheet1!I28</f>
        <v>507.18722006569124</v>
      </c>
      <c r="P16" s="115">
        <f t="shared" si="0"/>
        <v>21.095687946186139</v>
      </c>
      <c r="Q16" s="114">
        <f t="shared" si="1"/>
        <v>528.28290801187734</v>
      </c>
      <c r="R16" s="113">
        <f t="shared" si="11"/>
        <v>456.97290801187734</v>
      </c>
      <c r="S16" s="113">
        <f t="shared" si="8"/>
        <v>2336.4</v>
      </c>
      <c r="T16" s="113">
        <f t="shared" si="9"/>
        <v>1067671.5022789503</v>
      </c>
      <c r="U16" s="192">
        <f>SUM(T16:T20)</f>
        <v>2202739.568313235</v>
      </c>
      <c r="V16" s="209" t="s">
        <v>343</v>
      </c>
      <c r="W16" s="170"/>
      <c r="X16" s="116"/>
    </row>
    <row r="17" spans="2:24" s="107" customFormat="1" ht="27" customHeight="1" x14ac:dyDescent="0.25">
      <c r="B17" s="229"/>
      <c r="C17" s="216"/>
      <c r="D17" s="108" t="s">
        <v>309</v>
      </c>
      <c r="E17" s="109"/>
      <c r="F17" s="109">
        <v>3</v>
      </c>
      <c r="G17" s="109"/>
      <c r="H17" s="109"/>
      <c r="I17" s="110">
        <f>E17*115+F17*38+G17*28+H17*11</f>
        <v>114</v>
      </c>
      <c r="J17" s="111">
        <f>SUM(E17:H17)*6.3</f>
        <v>18.899999999999999</v>
      </c>
      <c r="K17" s="112">
        <f>(I17+J17)*5%</f>
        <v>6.6450000000000005</v>
      </c>
      <c r="L17" s="112">
        <f>(I17+J17)*10%</f>
        <v>13.290000000000001</v>
      </c>
      <c r="M17" s="112">
        <f t="shared" si="10"/>
        <v>6</v>
      </c>
      <c r="N17" s="113">
        <f>I17+J17-K17-L17-M17</f>
        <v>106.965</v>
      </c>
      <c r="O17" s="114">
        <f>Sheet1!I29</f>
        <v>237.93968348760825</v>
      </c>
      <c r="P17" s="115">
        <f t="shared" si="0"/>
        <v>31.643531919279209</v>
      </c>
      <c r="Q17" s="114">
        <f>SUM(O17:P17)</f>
        <v>269.58321540688746</v>
      </c>
      <c r="R17" s="113">
        <f t="shared" si="11"/>
        <v>162.61821540688746</v>
      </c>
      <c r="S17" s="113">
        <f t="shared" si="8"/>
        <v>2336.4</v>
      </c>
      <c r="T17" s="113">
        <f>R17*S17</f>
        <v>379941.19847665186</v>
      </c>
      <c r="U17" s="193"/>
      <c r="V17" s="210"/>
      <c r="W17" s="171"/>
      <c r="X17" s="117">
        <f>Sheet1!K33</f>
        <v>501.96924455061207</v>
      </c>
    </row>
    <row r="18" spans="2:24" s="107" customFormat="1" ht="27" customHeight="1" x14ac:dyDescent="0.25">
      <c r="B18" s="229"/>
      <c r="C18" s="216"/>
      <c r="D18" s="108" t="s">
        <v>310</v>
      </c>
      <c r="E18" s="109"/>
      <c r="F18" s="109">
        <v>2</v>
      </c>
      <c r="G18" s="109"/>
      <c r="H18" s="109"/>
      <c r="I18" s="110">
        <f>E18*115+F18*38+G18*28+H18*11</f>
        <v>76</v>
      </c>
      <c r="J18" s="111">
        <f>SUM(E18:H18)*6.3</f>
        <v>12.6</v>
      </c>
      <c r="K18" s="112">
        <f>(I18+J18)*5%</f>
        <v>4.43</v>
      </c>
      <c r="L18" s="112">
        <f>(I18+J18)*10%</f>
        <v>8.86</v>
      </c>
      <c r="M18" s="112">
        <f t="shared" si="10"/>
        <v>4</v>
      </c>
      <c r="N18" s="113">
        <f>I18+J18-K18-L18-M18</f>
        <v>71.309999999999988</v>
      </c>
      <c r="O18" s="114">
        <f>Sheet1!I30</f>
        <v>174.28038220364289</v>
      </c>
      <c r="P18" s="115">
        <f t="shared" si="0"/>
        <v>21.095687946186139</v>
      </c>
      <c r="Q18" s="114">
        <f>SUM(O18:P18)</f>
        <v>195.37607014982902</v>
      </c>
      <c r="R18" s="113">
        <f t="shared" si="11"/>
        <v>124.06607014982903</v>
      </c>
      <c r="S18" s="113">
        <f t="shared" si="8"/>
        <v>2336.4</v>
      </c>
      <c r="T18" s="113">
        <f>R18*S18</f>
        <v>289867.96629806055</v>
      </c>
      <c r="U18" s="193"/>
      <c r="V18" s="210"/>
      <c r="W18" s="171"/>
      <c r="X18" s="118"/>
    </row>
    <row r="19" spans="2:24" s="107" customFormat="1" ht="27" customHeight="1" x14ac:dyDescent="0.25">
      <c r="B19" s="229"/>
      <c r="C19" s="216"/>
      <c r="D19" s="108" t="s">
        <v>311</v>
      </c>
      <c r="E19" s="109"/>
      <c r="F19" s="109">
        <v>1</v>
      </c>
      <c r="G19" s="109"/>
      <c r="H19" s="109">
        <v>1</v>
      </c>
      <c r="I19" s="110">
        <f>E19*115+F19*38+G19*28+H19*11</f>
        <v>49</v>
      </c>
      <c r="J19" s="111">
        <f>SUM(E19:H19)*6.3</f>
        <v>12.6</v>
      </c>
      <c r="K19" s="112">
        <f>(I19+J19)*5%</f>
        <v>3.08</v>
      </c>
      <c r="L19" s="112">
        <f>(I19+J19)*10%</f>
        <v>6.16</v>
      </c>
      <c r="M19" s="112">
        <f t="shared" si="10"/>
        <v>4</v>
      </c>
      <c r="N19" s="113">
        <f>I19+J19-K19-L19-M19</f>
        <v>48.36</v>
      </c>
      <c r="O19" s="114">
        <f>Sheet1!I31</f>
        <v>138.79814870110482</v>
      </c>
      <c r="P19" s="115">
        <f t="shared" si="0"/>
        <v>21.095687946186139</v>
      </c>
      <c r="Q19" s="114">
        <f>SUM(O19:P19)</f>
        <v>159.89383664729095</v>
      </c>
      <c r="R19" s="113">
        <f t="shared" si="11"/>
        <v>111.53383664729095</v>
      </c>
      <c r="S19" s="113">
        <f t="shared" si="8"/>
        <v>2336.4</v>
      </c>
      <c r="T19" s="113">
        <f>R19*S19</f>
        <v>260587.65594273061</v>
      </c>
      <c r="U19" s="193"/>
      <c r="V19" s="210"/>
      <c r="W19" s="171"/>
      <c r="X19" s="118"/>
    </row>
    <row r="20" spans="2:24" s="107" customFormat="1" ht="27" customHeight="1" x14ac:dyDescent="0.25">
      <c r="B20" s="230"/>
      <c r="C20" s="217"/>
      <c r="D20" s="108" t="s">
        <v>51</v>
      </c>
      <c r="E20" s="109"/>
      <c r="F20" s="109">
        <v>1</v>
      </c>
      <c r="G20" s="109"/>
      <c r="H20" s="109"/>
      <c r="I20" s="110">
        <f>E20*115+F20*38+G20*28+H20*11</f>
        <v>38</v>
      </c>
      <c r="J20" s="111">
        <f>SUM(E20:H20)*6.3</f>
        <v>6.3</v>
      </c>
      <c r="K20" s="112">
        <f>(I20+J20)*5%</f>
        <v>2.2149999999999999</v>
      </c>
      <c r="L20" s="112">
        <f>(I20+J20)*10%</f>
        <v>4.43</v>
      </c>
      <c r="M20" s="112">
        <f t="shared" si="10"/>
        <v>2</v>
      </c>
      <c r="N20" s="113">
        <f>I20+J20-K20-L20-M20</f>
        <v>35.654999999999994</v>
      </c>
      <c r="O20" s="114">
        <f>Sheet1!I32</f>
        <v>112.70827112570916</v>
      </c>
      <c r="P20" s="115">
        <f t="shared" si="0"/>
        <v>10.54784397309307</v>
      </c>
      <c r="Q20" s="114">
        <f>SUM(O20:P20)</f>
        <v>123.25611509880223</v>
      </c>
      <c r="R20" s="113">
        <f t="shared" si="11"/>
        <v>87.601115098802239</v>
      </c>
      <c r="S20" s="113">
        <f t="shared" si="8"/>
        <v>2336.4</v>
      </c>
      <c r="T20" s="113">
        <f>R20*S20</f>
        <v>204671.24531684155</v>
      </c>
      <c r="U20" s="194"/>
      <c r="V20" s="211"/>
      <c r="W20" s="172"/>
      <c r="X20" s="118"/>
    </row>
    <row r="21" spans="2:24" s="2" customFormat="1" ht="27" customHeight="1" x14ac:dyDescent="0.25">
      <c r="B21" s="218">
        <v>6</v>
      </c>
      <c r="C21" s="183" t="s">
        <v>179</v>
      </c>
      <c r="D21" s="41" t="s">
        <v>52</v>
      </c>
      <c r="E21" s="85"/>
      <c r="F21" s="85">
        <v>2</v>
      </c>
      <c r="G21" s="85"/>
      <c r="H21" s="85"/>
      <c r="I21" s="77">
        <f t="shared" si="3"/>
        <v>76</v>
      </c>
      <c r="J21" s="83">
        <f t="shared" si="4"/>
        <v>12.6</v>
      </c>
      <c r="K21" s="84">
        <f t="shared" si="5"/>
        <v>4.43</v>
      </c>
      <c r="L21" s="84">
        <f t="shared" si="6"/>
        <v>8.86</v>
      </c>
      <c r="M21" s="84">
        <f t="shared" si="10"/>
        <v>4</v>
      </c>
      <c r="N21" s="81">
        <f t="shared" si="7"/>
        <v>71.309999999999988</v>
      </c>
      <c r="O21" s="82">
        <f>Sheet1!I33</f>
        <v>209.76261570618095</v>
      </c>
      <c r="P21" s="70">
        <f t="shared" si="0"/>
        <v>21.095687946186139</v>
      </c>
      <c r="Q21" s="82">
        <f t="shared" si="1"/>
        <v>230.85830365236708</v>
      </c>
      <c r="R21" s="81">
        <f t="shared" si="2"/>
        <v>159.54830365236711</v>
      </c>
      <c r="S21" s="81">
        <f t="shared" si="8"/>
        <v>2336.4</v>
      </c>
      <c r="T21" s="81">
        <f t="shared" si="9"/>
        <v>372768.65665339056</v>
      </c>
      <c r="U21" s="176">
        <f>T21+T22</f>
        <v>516483.51200307778</v>
      </c>
      <c r="V21" s="173" t="s">
        <v>319</v>
      </c>
      <c r="W21" s="167"/>
      <c r="X21" s="105"/>
    </row>
    <row r="22" spans="2:24" s="2" customFormat="1" ht="27" customHeight="1" x14ac:dyDescent="0.25">
      <c r="B22" s="220"/>
      <c r="C22" s="185"/>
      <c r="D22" s="41" t="s">
        <v>264</v>
      </c>
      <c r="E22" s="85"/>
      <c r="F22" s="85">
        <v>1</v>
      </c>
      <c r="G22" s="85"/>
      <c r="H22" s="85"/>
      <c r="I22" s="77">
        <f>E22*115+F22*38+G22*28+H22*11</f>
        <v>38</v>
      </c>
      <c r="J22" s="83">
        <f>SUM(E22:H22)*6.3</f>
        <v>6.3</v>
      </c>
      <c r="K22" s="84">
        <f>(I22+J22)*5%</f>
        <v>2.2149999999999999</v>
      </c>
      <c r="L22" s="84">
        <f>(I22+J22)*10%</f>
        <v>4.43</v>
      </c>
      <c r="M22" s="84">
        <f t="shared" si="10"/>
        <v>2</v>
      </c>
      <c r="N22" s="81">
        <f>I22+J22-K22-L22-M22</f>
        <v>35.654999999999994</v>
      </c>
      <c r="O22" s="82">
        <f>Sheet1!I34</f>
        <v>86.618393550313527</v>
      </c>
      <c r="P22" s="70">
        <f t="shared" si="0"/>
        <v>10.54784397309307</v>
      </c>
      <c r="Q22" s="82">
        <f>SUM(O22:P22)</f>
        <v>97.166237523406593</v>
      </c>
      <c r="R22" s="81">
        <f>Q22-N22</f>
        <v>61.511237523406599</v>
      </c>
      <c r="S22" s="81">
        <f t="shared" si="8"/>
        <v>2336.4</v>
      </c>
      <c r="T22" s="81">
        <f>R22*S22</f>
        <v>143714.85534968719</v>
      </c>
      <c r="U22" s="178"/>
      <c r="V22" s="175"/>
      <c r="W22" s="169"/>
      <c r="X22" s="5"/>
    </row>
    <row r="23" spans="2:24" s="2" customFormat="1" ht="27" customHeight="1" x14ac:dyDescent="0.25">
      <c r="B23" s="218">
        <v>7</v>
      </c>
      <c r="C23" s="183" t="s">
        <v>180</v>
      </c>
      <c r="D23" s="41" t="s">
        <v>341</v>
      </c>
      <c r="E23" s="85"/>
      <c r="F23" s="85">
        <v>2</v>
      </c>
      <c r="G23" s="85">
        <v>1</v>
      </c>
      <c r="H23" s="85"/>
      <c r="I23" s="77">
        <f t="shared" si="3"/>
        <v>104</v>
      </c>
      <c r="J23" s="83">
        <f t="shared" si="4"/>
        <v>18.899999999999999</v>
      </c>
      <c r="K23" s="84">
        <f t="shared" si="5"/>
        <v>6.1450000000000005</v>
      </c>
      <c r="L23" s="84">
        <f t="shared" si="6"/>
        <v>12.290000000000001</v>
      </c>
      <c r="M23" s="84">
        <f t="shared" si="10"/>
        <v>6</v>
      </c>
      <c r="N23" s="81">
        <f t="shared" si="7"/>
        <v>98.465000000000003</v>
      </c>
      <c r="O23" s="82">
        <f>Sheet1!I35</f>
        <v>236.89608838459242</v>
      </c>
      <c r="P23" s="70">
        <f t="shared" si="0"/>
        <v>31.643531919279209</v>
      </c>
      <c r="Q23" s="82">
        <f t="shared" si="1"/>
        <v>268.53962030387163</v>
      </c>
      <c r="R23" s="81">
        <f t="shared" si="2"/>
        <v>170.07462030387163</v>
      </c>
      <c r="S23" s="81">
        <f t="shared" si="8"/>
        <v>2336.4</v>
      </c>
      <c r="T23" s="81">
        <f t="shared" si="9"/>
        <v>397362.34287796571</v>
      </c>
      <c r="U23" s="176">
        <f>T23+T24</f>
        <v>472663.81649164285</v>
      </c>
      <c r="V23" s="173" t="s">
        <v>320</v>
      </c>
      <c r="W23" s="167"/>
      <c r="X23" s="105"/>
    </row>
    <row r="24" spans="2:24" s="2" customFormat="1" ht="27" customHeight="1" x14ac:dyDescent="0.25">
      <c r="B24" s="220"/>
      <c r="C24" s="185"/>
      <c r="D24" s="41" t="s">
        <v>312</v>
      </c>
      <c r="E24" s="85"/>
      <c r="F24" s="85">
        <v>2</v>
      </c>
      <c r="G24" s="85"/>
      <c r="H24" s="85"/>
      <c r="I24" s="77">
        <f>E24*115+F24*38+G24*28+H24*11</f>
        <v>76</v>
      </c>
      <c r="J24" s="83">
        <f>SUM(E24:H24)*6.3</f>
        <v>12.6</v>
      </c>
      <c r="K24" s="84">
        <f>(I24+J24)*5%</f>
        <v>4.43</v>
      </c>
      <c r="L24" s="84">
        <f>(I24+J24)*10%</f>
        <v>8.86</v>
      </c>
      <c r="M24" s="84">
        <f t="shared" si="10"/>
        <v>4</v>
      </c>
      <c r="N24" s="81">
        <f>I24+J24-K24-L24-M24</f>
        <v>71.309999999999988</v>
      </c>
      <c r="O24" s="82">
        <f>Sheet1!I36</f>
        <v>82.444013138250227</v>
      </c>
      <c r="P24" s="70">
        <f t="shared" si="0"/>
        <v>21.095687946186139</v>
      </c>
      <c r="Q24" s="82">
        <f>SUM(O24:P24)</f>
        <v>103.53970108443636</v>
      </c>
      <c r="R24" s="81">
        <f>Q24-N24</f>
        <v>32.229701084436371</v>
      </c>
      <c r="S24" s="81">
        <f t="shared" si="8"/>
        <v>2336.4</v>
      </c>
      <c r="T24" s="81">
        <f>R24*S24</f>
        <v>75301.473613677139</v>
      </c>
      <c r="U24" s="178"/>
      <c r="V24" s="175"/>
      <c r="W24" s="169"/>
      <c r="X24" s="5"/>
    </row>
    <row r="25" spans="2:24" s="2" customFormat="1" ht="27" customHeight="1" x14ac:dyDescent="0.25">
      <c r="B25" s="218">
        <v>8</v>
      </c>
      <c r="C25" s="183" t="s">
        <v>181</v>
      </c>
      <c r="D25" s="41" t="s">
        <v>53</v>
      </c>
      <c r="E25" s="85"/>
      <c r="F25" s="85">
        <v>2</v>
      </c>
      <c r="G25" s="85"/>
      <c r="H25" s="85"/>
      <c r="I25" s="77">
        <f t="shared" si="3"/>
        <v>76</v>
      </c>
      <c r="J25" s="83">
        <f t="shared" si="4"/>
        <v>12.6</v>
      </c>
      <c r="K25" s="84">
        <f t="shared" si="5"/>
        <v>4.43</v>
      </c>
      <c r="L25" s="84">
        <f t="shared" si="6"/>
        <v>8.86</v>
      </c>
      <c r="M25" s="84">
        <f t="shared" si="10"/>
        <v>4</v>
      </c>
      <c r="N25" s="81">
        <f t="shared" si="7"/>
        <v>71.309999999999988</v>
      </c>
      <c r="O25" s="82">
        <f>Sheet1!I37</f>
        <v>244.20125410570319</v>
      </c>
      <c r="P25" s="70">
        <f t="shared" si="0"/>
        <v>21.095687946186139</v>
      </c>
      <c r="Q25" s="82">
        <f t="shared" si="1"/>
        <v>265.29694205188935</v>
      </c>
      <c r="R25" s="81">
        <f t="shared" si="2"/>
        <v>193.98694205188934</v>
      </c>
      <c r="S25" s="81">
        <f t="shared" si="8"/>
        <v>2336.4</v>
      </c>
      <c r="T25" s="81">
        <f t="shared" si="9"/>
        <v>453231.09141003428</v>
      </c>
      <c r="U25" s="176">
        <f>T25+T26</f>
        <v>540723.84301714227</v>
      </c>
      <c r="V25" s="173" t="s">
        <v>275</v>
      </c>
      <c r="W25" s="167"/>
      <c r="X25" s="5"/>
    </row>
    <row r="26" spans="2:24" s="2" customFormat="1" ht="27" customHeight="1" x14ac:dyDescent="0.25">
      <c r="B26" s="220"/>
      <c r="C26" s="185"/>
      <c r="D26" s="41" t="s">
        <v>54</v>
      </c>
      <c r="E26" s="85"/>
      <c r="F26" s="85">
        <v>2</v>
      </c>
      <c r="G26" s="85"/>
      <c r="H26" s="85"/>
      <c r="I26" s="77">
        <f>E26*115+F26*38+G26*28+H26*11</f>
        <v>76</v>
      </c>
      <c r="J26" s="83">
        <f>SUM(E26:H26)*6.3</f>
        <v>12.6</v>
      </c>
      <c r="K26" s="84">
        <f>(I26+J26)*5%</f>
        <v>4.43</v>
      </c>
      <c r="L26" s="84">
        <f>(I26+J26)*10%</f>
        <v>8.86</v>
      </c>
      <c r="M26" s="84">
        <f t="shared" si="10"/>
        <v>4</v>
      </c>
      <c r="N26" s="81">
        <f>I26+J26-K26-L26-M26</f>
        <v>71.309999999999988</v>
      </c>
      <c r="O26" s="82">
        <f>Sheet1!I38</f>
        <v>87.661988653329345</v>
      </c>
      <c r="P26" s="70">
        <f t="shared" si="0"/>
        <v>21.095687946186139</v>
      </c>
      <c r="Q26" s="82">
        <f>SUM(O26:P26)</f>
        <v>108.75767659951549</v>
      </c>
      <c r="R26" s="81">
        <f>Q26-N26</f>
        <v>37.447676599515503</v>
      </c>
      <c r="S26" s="81">
        <f t="shared" si="8"/>
        <v>2336.4</v>
      </c>
      <c r="T26" s="81">
        <f>R26*S26</f>
        <v>87492.751607108032</v>
      </c>
      <c r="U26" s="178"/>
      <c r="V26" s="175"/>
      <c r="W26" s="169"/>
      <c r="X26" s="105"/>
    </row>
    <row r="27" spans="2:24" s="2" customFormat="1" ht="27" customHeight="1" x14ac:dyDescent="0.25">
      <c r="B27" s="218">
        <v>9</v>
      </c>
      <c r="C27" s="183" t="s">
        <v>182</v>
      </c>
      <c r="D27" s="41" t="s">
        <v>55</v>
      </c>
      <c r="E27" s="85"/>
      <c r="F27" s="85">
        <v>2</v>
      </c>
      <c r="G27" s="85">
        <v>1</v>
      </c>
      <c r="H27" s="85"/>
      <c r="I27" s="77">
        <f t="shared" si="3"/>
        <v>104</v>
      </c>
      <c r="J27" s="83">
        <f t="shared" si="4"/>
        <v>18.899999999999999</v>
      </c>
      <c r="K27" s="84">
        <f t="shared" si="5"/>
        <v>6.1450000000000005</v>
      </c>
      <c r="L27" s="84">
        <f t="shared" si="6"/>
        <v>12.290000000000001</v>
      </c>
      <c r="M27" s="84">
        <f t="shared" si="10"/>
        <v>6</v>
      </c>
      <c r="N27" s="81">
        <f t="shared" si="7"/>
        <v>98.465000000000003</v>
      </c>
      <c r="O27" s="82">
        <f>Sheet1!I39</f>
        <v>133.58017318602569</v>
      </c>
      <c r="P27" s="70">
        <f t="shared" si="0"/>
        <v>31.643531919279209</v>
      </c>
      <c r="Q27" s="82">
        <f t="shared" si="1"/>
        <v>165.2237051053049</v>
      </c>
      <c r="R27" s="81">
        <f t="shared" si="2"/>
        <v>66.758705105304898</v>
      </c>
      <c r="S27" s="81">
        <f t="shared" si="8"/>
        <v>2336.4</v>
      </c>
      <c r="T27" s="81">
        <f t="shared" si="9"/>
        <v>155975.03860803437</v>
      </c>
      <c r="U27" s="176">
        <f>T27+T28</f>
        <v>577508.80723514827</v>
      </c>
      <c r="V27" s="173" t="s">
        <v>318</v>
      </c>
      <c r="W27" s="167"/>
      <c r="X27" s="5"/>
    </row>
    <row r="28" spans="2:24" s="2" customFormat="1" ht="27" customHeight="1" x14ac:dyDescent="0.25">
      <c r="B28" s="220"/>
      <c r="C28" s="185"/>
      <c r="D28" s="41" t="s">
        <v>313</v>
      </c>
      <c r="E28" s="85"/>
      <c r="F28" s="85">
        <v>2</v>
      </c>
      <c r="G28" s="85"/>
      <c r="H28" s="85"/>
      <c r="I28" s="77">
        <f>E28*115+F28*38+G28*28+H28*11</f>
        <v>76</v>
      </c>
      <c r="J28" s="83">
        <f>SUM(E28:H28)*6.3</f>
        <v>12.6</v>
      </c>
      <c r="K28" s="84">
        <f>(I28+J28)*5%</f>
        <v>4.43</v>
      </c>
      <c r="L28" s="84">
        <f>(I28+J28)*10%</f>
        <v>8.86</v>
      </c>
      <c r="M28" s="84">
        <f t="shared" si="10"/>
        <v>4</v>
      </c>
      <c r="N28" s="81">
        <f>I28+J28-K28-L28-M28</f>
        <v>71.309999999999988</v>
      </c>
      <c r="O28" s="82">
        <f>Sheet1!I40</f>
        <v>230.63451776649745</v>
      </c>
      <c r="P28" s="70">
        <f t="shared" si="0"/>
        <v>21.095687946186139</v>
      </c>
      <c r="Q28" s="82">
        <f>SUM(O28:P28)</f>
        <v>251.73020571268358</v>
      </c>
      <c r="R28" s="81">
        <f>Q28-N28</f>
        <v>180.42020571268358</v>
      </c>
      <c r="S28" s="81">
        <f t="shared" si="8"/>
        <v>2336.4</v>
      </c>
      <c r="T28" s="81">
        <f>R28*S28</f>
        <v>421533.76862711395</v>
      </c>
      <c r="U28" s="178"/>
      <c r="V28" s="175"/>
      <c r="W28" s="169"/>
      <c r="X28" s="5"/>
    </row>
    <row r="29" spans="2:24" s="2" customFormat="1" ht="27" customHeight="1" x14ac:dyDescent="0.25">
      <c r="B29" s="218">
        <v>10</v>
      </c>
      <c r="C29" s="183" t="s">
        <v>183</v>
      </c>
      <c r="D29" s="41" t="s">
        <v>232</v>
      </c>
      <c r="E29" s="85"/>
      <c r="F29" s="85">
        <v>2</v>
      </c>
      <c r="G29" s="85"/>
      <c r="H29" s="85"/>
      <c r="I29" s="77">
        <f t="shared" si="3"/>
        <v>76</v>
      </c>
      <c r="J29" s="83">
        <f t="shared" si="4"/>
        <v>12.6</v>
      </c>
      <c r="K29" s="84">
        <f t="shared" si="5"/>
        <v>4.43</v>
      </c>
      <c r="L29" s="84">
        <f t="shared" si="6"/>
        <v>8.86</v>
      </c>
      <c r="M29" s="84">
        <f t="shared" si="10"/>
        <v>4</v>
      </c>
      <c r="N29" s="81">
        <f t="shared" si="7"/>
        <v>71.309999999999988</v>
      </c>
      <c r="O29" s="82">
        <f>Sheet1!I41</f>
        <v>99.141534786503428</v>
      </c>
      <c r="P29" s="70">
        <f t="shared" si="0"/>
        <v>21.095687946186139</v>
      </c>
      <c r="Q29" s="82">
        <f t="shared" si="1"/>
        <v>120.23722273268956</v>
      </c>
      <c r="R29" s="81">
        <f t="shared" si="2"/>
        <v>48.927222732689572</v>
      </c>
      <c r="S29" s="81">
        <f t="shared" si="8"/>
        <v>2336.4</v>
      </c>
      <c r="T29" s="81">
        <f t="shared" si="9"/>
        <v>114313.56319265591</v>
      </c>
      <c r="U29" s="176">
        <f>T29+T30</f>
        <v>713697.76555106346</v>
      </c>
      <c r="V29" s="173" t="s">
        <v>276</v>
      </c>
      <c r="W29" s="167"/>
      <c r="X29" s="105"/>
    </row>
    <row r="30" spans="2:24" s="2" customFormat="1" ht="27" customHeight="1" x14ac:dyDescent="0.25">
      <c r="B30" s="219"/>
      <c r="C30" s="184"/>
      <c r="D30" s="41" t="s">
        <v>57</v>
      </c>
      <c r="E30" s="85"/>
      <c r="F30" s="85">
        <v>3</v>
      </c>
      <c r="G30" s="85"/>
      <c r="H30" s="85"/>
      <c r="I30" s="77">
        <f>E30*115+F30*38+G30*28+H30*11</f>
        <v>114</v>
      </c>
      <c r="J30" s="83">
        <f>SUM(E30:H30)*6.3</f>
        <v>18.899999999999999</v>
      </c>
      <c r="K30" s="84">
        <f>(I30+J30)*5%</f>
        <v>6.6450000000000005</v>
      </c>
      <c r="L30" s="84">
        <f>(I30+J30)*10%</f>
        <v>13.290000000000001</v>
      </c>
      <c r="M30" s="84">
        <f t="shared" ref="M30" si="12">SUM(E30:H30)*2</f>
        <v>6</v>
      </c>
      <c r="N30" s="81">
        <f>I30+J30-K30-L30-M30</f>
        <v>106.965</v>
      </c>
      <c r="O30" s="82">
        <f>Sheet1!I43</f>
        <v>331.86324275903257</v>
      </c>
      <c r="P30" s="70">
        <f t="shared" si="0"/>
        <v>31.643531919279209</v>
      </c>
      <c r="Q30" s="82">
        <f>SUM(O30:P30)</f>
        <v>363.50677467831179</v>
      </c>
      <c r="R30" s="81">
        <f>Q30-N30</f>
        <v>256.54177467831175</v>
      </c>
      <c r="S30" s="81">
        <f t="shared" si="8"/>
        <v>2336.4</v>
      </c>
      <c r="T30" s="81">
        <f>R30*S30</f>
        <v>599384.20235840755</v>
      </c>
      <c r="U30" s="177"/>
      <c r="V30" s="174"/>
      <c r="W30" s="168"/>
      <c r="X30" s="105"/>
    </row>
    <row r="31" spans="2:24" s="2" customFormat="1" ht="27" customHeight="1" x14ac:dyDescent="0.25">
      <c r="B31" s="219"/>
      <c r="C31" s="184"/>
      <c r="D31" s="41" t="s">
        <v>292</v>
      </c>
      <c r="E31" s="85"/>
      <c r="F31" s="85">
        <v>5</v>
      </c>
      <c r="G31" s="85">
        <v>1</v>
      </c>
      <c r="H31" s="85"/>
      <c r="I31" s="77">
        <f t="shared" si="3"/>
        <v>218</v>
      </c>
      <c r="J31" s="83">
        <f t="shared" si="4"/>
        <v>37.799999999999997</v>
      </c>
      <c r="K31" s="84">
        <f t="shared" si="5"/>
        <v>12.790000000000001</v>
      </c>
      <c r="L31" s="84">
        <f t="shared" si="6"/>
        <v>25.580000000000002</v>
      </c>
      <c r="M31" s="84">
        <f t="shared" si="10"/>
        <v>12</v>
      </c>
      <c r="N31" s="81">
        <f>I31+J31-K31-L31-M31</f>
        <v>205.43</v>
      </c>
      <c r="O31" s="82">
        <f>Sheet1!I42</f>
        <v>368.38907136458647</v>
      </c>
      <c r="P31" s="70">
        <f t="shared" si="0"/>
        <v>63.287063838558417</v>
      </c>
      <c r="Q31" s="82">
        <f t="shared" si="1"/>
        <v>431.6761352031449</v>
      </c>
      <c r="R31" s="81">
        <f t="shared" si="2"/>
        <v>226.24613520314489</v>
      </c>
      <c r="S31" s="81">
        <f t="shared" si="8"/>
        <v>2336.4</v>
      </c>
      <c r="T31" s="81">
        <f t="shared" si="9"/>
        <v>528601.47028862778</v>
      </c>
      <c r="U31" s="120">
        <f>T31</f>
        <v>528601.47028862778</v>
      </c>
      <c r="V31" s="132" t="s">
        <v>322</v>
      </c>
      <c r="W31" s="168"/>
      <c r="X31" s="105"/>
    </row>
    <row r="32" spans="2:24" s="2" customFormat="1" ht="24.95" customHeight="1" x14ac:dyDescent="0.25">
      <c r="B32" s="218">
        <v>11</v>
      </c>
      <c r="C32" s="183" t="s">
        <v>185</v>
      </c>
      <c r="D32" s="41" t="s">
        <v>314</v>
      </c>
      <c r="E32" s="85"/>
      <c r="F32" s="85">
        <v>1</v>
      </c>
      <c r="G32" s="85"/>
      <c r="H32" s="85"/>
      <c r="I32" s="77">
        <f t="shared" si="3"/>
        <v>38</v>
      </c>
      <c r="J32" s="83">
        <f t="shared" si="4"/>
        <v>6.3</v>
      </c>
      <c r="K32" s="84">
        <f t="shared" si="5"/>
        <v>2.2149999999999999</v>
      </c>
      <c r="L32" s="84">
        <f t="shared" si="6"/>
        <v>4.43</v>
      </c>
      <c r="M32" s="84">
        <f t="shared" si="10"/>
        <v>2</v>
      </c>
      <c r="N32" s="81">
        <f t="shared" si="7"/>
        <v>35.654999999999994</v>
      </c>
      <c r="O32" s="82">
        <f>Sheet1!I44</f>
        <v>384.04299790982384</v>
      </c>
      <c r="P32" s="70">
        <f t="shared" si="0"/>
        <v>10.54784397309307</v>
      </c>
      <c r="Q32" s="82">
        <f t="shared" si="1"/>
        <v>394.59084188291689</v>
      </c>
      <c r="R32" s="81">
        <f t="shared" si="2"/>
        <v>358.93584188291692</v>
      </c>
      <c r="S32" s="81">
        <f t="shared" si="8"/>
        <v>2336.4</v>
      </c>
      <c r="T32" s="81">
        <f t="shared" si="9"/>
        <v>838617.70097524708</v>
      </c>
      <c r="U32" s="167">
        <f>T32+T33+T34+T35</f>
        <v>2907029.649904097</v>
      </c>
      <c r="V32" s="167" t="s">
        <v>316</v>
      </c>
      <c r="W32" s="167"/>
      <c r="X32" s="105"/>
    </row>
    <row r="33" spans="2:24" s="2" customFormat="1" ht="24.95" customHeight="1" x14ac:dyDescent="0.25">
      <c r="B33" s="219"/>
      <c r="C33" s="184"/>
      <c r="D33" s="41" t="s">
        <v>65</v>
      </c>
      <c r="E33" s="85"/>
      <c r="F33" s="85">
        <v>2</v>
      </c>
      <c r="G33" s="85"/>
      <c r="H33" s="85"/>
      <c r="I33" s="77">
        <f>E33*115+F33*38+G33*28+H33*11</f>
        <v>76</v>
      </c>
      <c r="J33" s="83">
        <f>SUM(E33:H33)*6.3</f>
        <v>12.6</v>
      </c>
      <c r="K33" s="84">
        <f>(I33+J33)*5%</f>
        <v>4.43</v>
      </c>
      <c r="L33" s="84">
        <f>(I33+J33)*10%</f>
        <v>8.86</v>
      </c>
      <c r="M33" s="84">
        <f t="shared" si="10"/>
        <v>4</v>
      </c>
      <c r="N33" s="81">
        <f>I33+J33-K33-L33-M33</f>
        <v>71.309999999999988</v>
      </c>
      <c r="O33" s="82">
        <f>Sheet1!I45</f>
        <v>265.07315616601971</v>
      </c>
      <c r="P33" s="70">
        <f t="shared" si="0"/>
        <v>21.095687946186139</v>
      </c>
      <c r="Q33" s="82">
        <f>SUM(O33:P33)</f>
        <v>286.16884411220587</v>
      </c>
      <c r="R33" s="81">
        <f>Q33-N33</f>
        <v>214.85884411220587</v>
      </c>
      <c r="S33" s="81">
        <f t="shared" si="8"/>
        <v>2336.4</v>
      </c>
      <c r="T33" s="81">
        <f>R33*S33</f>
        <v>501996.20338375785</v>
      </c>
      <c r="U33" s="168"/>
      <c r="V33" s="168"/>
      <c r="W33" s="168"/>
      <c r="X33" s="5"/>
    </row>
    <row r="34" spans="2:24" s="2" customFormat="1" ht="24.95" customHeight="1" x14ac:dyDescent="0.25">
      <c r="B34" s="219"/>
      <c r="C34" s="184"/>
      <c r="D34" s="41" t="s">
        <v>265</v>
      </c>
      <c r="E34" s="85"/>
      <c r="F34" s="85"/>
      <c r="G34" s="85">
        <v>3</v>
      </c>
      <c r="H34" s="85"/>
      <c r="I34" s="77">
        <f>E34*115+F34*38+G34*28+H34*11</f>
        <v>84</v>
      </c>
      <c r="J34" s="83">
        <f>SUM(E34:H34)*6.3</f>
        <v>18.899999999999999</v>
      </c>
      <c r="K34" s="84">
        <f>(I34+J34)*5%</f>
        <v>5.1450000000000005</v>
      </c>
      <c r="L34" s="84">
        <f>(I34+J34)*10%</f>
        <v>10.290000000000001</v>
      </c>
      <c r="M34" s="84">
        <f t="shared" si="10"/>
        <v>6</v>
      </c>
      <c r="N34" s="81">
        <f>I34+J34-K34-L34-M34</f>
        <v>81.465000000000003</v>
      </c>
      <c r="O34" s="82">
        <f>Sheet1!I46</f>
        <v>566.67214093759333</v>
      </c>
      <c r="P34" s="70">
        <f t="shared" si="0"/>
        <v>31.643531919279209</v>
      </c>
      <c r="Q34" s="82">
        <f>SUM(O34:P34)</f>
        <v>598.31567285687254</v>
      </c>
      <c r="R34" s="81">
        <f>Q34-N34</f>
        <v>516.85067285687251</v>
      </c>
      <c r="S34" s="81">
        <f t="shared" si="8"/>
        <v>2336.4</v>
      </c>
      <c r="T34" s="81">
        <f>R34*S34</f>
        <v>1207569.912062797</v>
      </c>
      <c r="U34" s="168"/>
      <c r="V34" s="168"/>
      <c r="W34" s="168"/>
      <c r="X34" s="5"/>
    </row>
    <row r="35" spans="2:24" s="2" customFormat="1" ht="24.95" customHeight="1" x14ac:dyDescent="0.25">
      <c r="B35" s="220"/>
      <c r="C35" s="185"/>
      <c r="D35" s="44" t="s">
        <v>330</v>
      </c>
      <c r="E35" s="85"/>
      <c r="F35" s="85"/>
      <c r="G35" s="85">
        <v>2</v>
      </c>
      <c r="H35" s="85"/>
      <c r="I35" s="77">
        <f>E35*115+F35*38+G35*28+H35*11</f>
        <v>56</v>
      </c>
      <c r="J35" s="83">
        <f>SUM(E35:H35)*6.3</f>
        <v>12.6</v>
      </c>
      <c r="K35" s="84">
        <f>(I35+J35)*5%</f>
        <v>3.4299999999999997</v>
      </c>
      <c r="L35" s="84">
        <f>(I35+J35)*10%</f>
        <v>6.8599999999999994</v>
      </c>
      <c r="M35" s="84">
        <f t="shared" si="10"/>
        <v>4</v>
      </c>
      <c r="N35" s="81">
        <f>I35+J35-K35-L35-M35</f>
        <v>54.309999999999988</v>
      </c>
      <c r="O35" s="82">
        <f>Sheet1!I47</f>
        <v>186.80352343983279</v>
      </c>
      <c r="P35" s="70">
        <f t="shared" si="0"/>
        <v>21.095687946186139</v>
      </c>
      <c r="Q35" s="82">
        <f>SUM(O35:P35)</f>
        <v>207.89921138601892</v>
      </c>
      <c r="R35" s="81">
        <f>Q35-N35</f>
        <v>153.58921138601892</v>
      </c>
      <c r="S35" s="81">
        <f t="shared" si="8"/>
        <v>2336.4</v>
      </c>
      <c r="T35" s="81">
        <f>R35*S35</f>
        <v>358845.83348229463</v>
      </c>
      <c r="U35" s="169"/>
      <c r="V35" s="169"/>
      <c r="W35" s="169"/>
      <c r="X35" s="5"/>
    </row>
    <row r="36" spans="2:24" s="2" customFormat="1" ht="24.95" customHeight="1" x14ac:dyDescent="0.25">
      <c r="B36" s="218">
        <v>12</v>
      </c>
      <c r="C36" s="183" t="s">
        <v>186</v>
      </c>
      <c r="D36" s="41" t="s">
        <v>67</v>
      </c>
      <c r="E36" s="85"/>
      <c r="F36" s="85">
        <v>2</v>
      </c>
      <c r="G36" s="85"/>
      <c r="H36" s="85"/>
      <c r="I36" s="77">
        <f t="shared" si="3"/>
        <v>76</v>
      </c>
      <c r="J36" s="83">
        <f t="shared" si="4"/>
        <v>12.6</v>
      </c>
      <c r="K36" s="84">
        <f t="shared" si="5"/>
        <v>4.43</v>
      </c>
      <c r="L36" s="84">
        <f t="shared" si="6"/>
        <v>8.86</v>
      </c>
      <c r="M36" s="84">
        <f t="shared" si="10"/>
        <v>4</v>
      </c>
      <c r="N36" s="81">
        <f t="shared" si="7"/>
        <v>71.309999999999988</v>
      </c>
      <c r="O36" s="82">
        <f>Sheet1!I48</f>
        <v>91.83636906539266</v>
      </c>
      <c r="P36" s="70">
        <f t="shared" si="0"/>
        <v>21.095687946186139</v>
      </c>
      <c r="Q36" s="82">
        <f t="shared" si="1"/>
        <v>112.93205701157879</v>
      </c>
      <c r="R36" s="81">
        <f t="shared" si="2"/>
        <v>41.622057011578804</v>
      </c>
      <c r="S36" s="81">
        <f t="shared" si="8"/>
        <v>2336.4</v>
      </c>
      <c r="T36" s="81">
        <f t="shared" si="9"/>
        <v>97245.774001852726</v>
      </c>
      <c r="U36" s="176">
        <f>T36+T37</f>
        <v>182158.04503747736</v>
      </c>
      <c r="V36" s="173" t="s">
        <v>277</v>
      </c>
      <c r="W36" s="167"/>
      <c r="X36" s="5"/>
    </row>
    <row r="37" spans="2:24" s="2" customFormat="1" ht="24.95" customHeight="1" x14ac:dyDescent="0.25">
      <c r="B37" s="220"/>
      <c r="C37" s="185"/>
      <c r="D37" s="41" t="s">
        <v>68</v>
      </c>
      <c r="E37" s="85"/>
      <c r="F37" s="85">
        <v>3</v>
      </c>
      <c r="G37" s="85"/>
      <c r="H37" s="85"/>
      <c r="I37" s="77">
        <f>E37*115+F37*38+G37*28+H37*11</f>
        <v>114</v>
      </c>
      <c r="J37" s="83">
        <f>SUM(E37:H37)*6.3</f>
        <v>18.899999999999999</v>
      </c>
      <c r="K37" s="84">
        <f>(I37+J37)*5%</f>
        <v>6.6450000000000005</v>
      </c>
      <c r="L37" s="84">
        <f>(I37+J37)*10%</f>
        <v>13.290000000000001</v>
      </c>
      <c r="M37" s="84">
        <f t="shared" si="10"/>
        <v>6</v>
      </c>
      <c r="N37" s="81">
        <f>I37+J37-K37-L37-M37</f>
        <v>106.965</v>
      </c>
      <c r="O37" s="82">
        <f>Sheet1!I49</f>
        <v>111.66467602269334</v>
      </c>
      <c r="P37" s="70">
        <f t="shared" si="0"/>
        <v>31.643531919279209</v>
      </c>
      <c r="Q37" s="82">
        <f>SUM(O37:P37)</f>
        <v>143.30820794197254</v>
      </c>
      <c r="R37" s="81">
        <f>Q37-N37</f>
        <v>36.343207941972537</v>
      </c>
      <c r="S37" s="81">
        <f t="shared" si="8"/>
        <v>2336.4</v>
      </c>
      <c r="T37" s="81">
        <f>R37*S37</f>
        <v>84912.271035624639</v>
      </c>
      <c r="U37" s="178"/>
      <c r="V37" s="175"/>
      <c r="W37" s="169"/>
      <c r="X37" s="5"/>
    </row>
    <row r="38" spans="2:24" s="2" customFormat="1" ht="24.95" customHeight="1" x14ac:dyDescent="0.25">
      <c r="B38" s="67">
        <v>13</v>
      </c>
      <c r="C38" s="179" t="s">
        <v>58</v>
      </c>
      <c r="D38" s="180"/>
      <c r="E38" s="85"/>
      <c r="F38" s="85">
        <v>4</v>
      </c>
      <c r="G38" s="85"/>
      <c r="H38" s="85"/>
      <c r="I38" s="77">
        <f t="shared" si="3"/>
        <v>152</v>
      </c>
      <c r="J38" s="83">
        <f t="shared" si="4"/>
        <v>25.2</v>
      </c>
      <c r="K38" s="84">
        <f t="shared" si="5"/>
        <v>8.86</v>
      </c>
      <c r="L38" s="84">
        <f t="shared" si="6"/>
        <v>17.72</v>
      </c>
      <c r="M38" s="84">
        <f t="shared" si="10"/>
        <v>8</v>
      </c>
      <c r="N38" s="81">
        <f t="shared" si="7"/>
        <v>142.61999999999998</v>
      </c>
      <c r="O38" s="82">
        <f>Sheet1!I50</f>
        <v>130.44938787697819</v>
      </c>
      <c r="P38" s="70">
        <f t="shared" si="0"/>
        <v>42.191375892372278</v>
      </c>
      <c r="Q38" s="82">
        <f t="shared" si="1"/>
        <v>172.64076376935049</v>
      </c>
      <c r="R38" s="81">
        <f t="shared" si="2"/>
        <v>30.020763769350509</v>
      </c>
      <c r="S38" s="81">
        <f t="shared" si="8"/>
        <v>2336.4</v>
      </c>
      <c r="T38" s="81">
        <f t="shared" si="9"/>
        <v>70140.512470710528</v>
      </c>
      <c r="U38" s="96">
        <f t="shared" ref="U38:U43" si="13">T38</f>
        <v>70140.512470710528</v>
      </c>
      <c r="V38" s="96" t="s">
        <v>236</v>
      </c>
      <c r="W38" s="81"/>
      <c r="X38" s="5"/>
    </row>
    <row r="39" spans="2:24" s="2" customFormat="1" ht="24.95" customHeight="1" x14ac:dyDescent="0.25">
      <c r="B39" s="67">
        <v>14</v>
      </c>
      <c r="C39" s="179" t="s">
        <v>59</v>
      </c>
      <c r="D39" s="180"/>
      <c r="E39" s="85"/>
      <c r="F39" s="85">
        <v>1</v>
      </c>
      <c r="G39" s="85"/>
      <c r="H39" s="85"/>
      <c r="I39" s="77">
        <f t="shared" si="3"/>
        <v>38</v>
      </c>
      <c r="J39" s="83">
        <f t="shared" si="4"/>
        <v>6.3</v>
      </c>
      <c r="K39" s="84">
        <f t="shared" si="5"/>
        <v>2.2149999999999999</v>
      </c>
      <c r="L39" s="84">
        <f t="shared" si="6"/>
        <v>4.43</v>
      </c>
      <c r="M39" s="84">
        <f t="shared" si="10"/>
        <v>2</v>
      </c>
      <c r="N39" s="81">
        <f t="shared" si="7"/>
        <v>35.654999999999994</v>
      </c>
      <c r="O39" s="82">
        <f>Sheet1!I51</f>
        <v>60.528515974917887</v>
      </c>
      <c r="P39" s="70">
        <f t="shared" si="0"/>
        <v>10.54784397309307</v>
      </c>
      <c r="Q39" s="82">
        <f t="shared" si="1"/>
        <v>71.07635994801096</v>
      </c>
      <c r="R39" s="81">
        <f t="shared" si="2"/>
        <v>35.421359948010966</v>
      </c>
      <c r="S39" s="81">
        <f t="shared" si="8"/>
        <v>2336.4</v>
      </c>
      <c r="T39" s="81">
        <f t="shared" si="9"/>
        <v>82758.465382532828</v>
      </c>
      <c r="U39" s="96">
        <f t="shared" si="13"/>
        <v>82758.465382532828</v>
      </c>
      <c r="V39" s="96" t="s">
        <v>278</v>
      </c>
      <c r="W39" s="81"/>
      <c r="X39" s="5"/>
    </row>
    <row r="40" spans="2:24" s="2" customFormat="1" ht="24.95" customHeight="1" x14ac:dyDescent="0.25">
      <c r="B40" s="67">
        <v>15</v>
      </c>
      <c r="C40" s="179" t="s">
        <v>184</v>
      </c>
      <c r="D40" s="180"/>
      <c r="E40" s="85"/>
      <c r="F40" s="85">
        <v>1</v>
      </c>
      <c r="G40" s="85"/>
      <c r="H40" s="85">
        <v>1</v>
      </c>
      <c r="I40" s="77">
        <f t="shared" si="3"/>
        <v>49</v>
      </c>
      <c r="J40" s="83">
        <f t="shared" si="4"/>
        <v>12.6</v>
      </c>
      <c r="K40" s="84">
        <f t="shared" si="5"/>
        <v>3.08</v>
      </c>
      <c r="L40" s="84">
        <f t="shared" si="6"/>
        <v>6.16</v>
      </c>
      <c r="M40" s="84">
        <f t="shared" si="10"/>
        <v>4</v>
      </c>
      <c r="N40" s="81">
        <f t="shared" si="7"/>
        <v>48.36</v>
      </c>
      <c r="O40" s="82">
        <f>Sheet1!I52</f>
        <v>48.00537473872798</v>
      </c>
      <c r="P40" s="70">
        <f t="shared" si="0"/>
        <v>21.095687946186139</v>
      </c>
      <c r="Q40" s="82">
        <f t="shared" si="1"/>
        <v>69.101062684914126</v>
      </c>
      <c r="R40" s="81">
        <f t="shared" si="2"/>
        <v>20.741062684914127</v>
      </c>
      <c r="S40" s="81">
        <f t="shared" si="8"/>
        <v>2336.4</v>
      </c>
      <c r="T40" s="81">
        <f t="shared" si="9"/>
        <v>48459.418857033364</v>
      </c>
      <c r="U40" s="96">
        <f t="shared" si="13"/>
        <v>48459.418857033364</v>
      </c>
      <c r="V40" s="96" t="s">
        <v>279</v>
      </c>
      <c r="W40" s="81"/>
      <c r="X40" s="5"/>
    </row>
    <row r="41" spans="2:24" s="2" customFormat="1" ht="24.95" customHeight="1" x14ac:dyDescent="0.25">
      <c r="B41" s="67">
        <v>16</v>
      </c>
      <c r="C41" s="179" t="s">
        <v>61</v>
      </c>
      <c r="D41" s="180"/>
      <c r="E41" s="85"/>
      <c r="F41" s="85">
        <v>5</v>
      </c>
      <c r="G41" s="85">
        <v>12</v>
      </c>
      <c r="H41" s="85"/>
      <c r="I41" s="77">
        <f>E41*115+F41*38+G41*28+H41*11</f>
        <v>526</v>
      </c>
      <c r="J41" s="83">
        <f t="shared" si="4"/>
        <v>107.1</v>
      </c>
      <c r="K41" s="84">
        <f t="shared" si="5"/>
        <v>31.655000000000001</v>
      </c>
      <c r="L41" s="84">
        <f t="shared" si="6"/>
        <v>63.31</v>
      </c>
      <c r="M41" s="84">
        <f t="shared" si="10"/>
        <v>34</v>
      </c>
      <c r="N41" s="81">
        <f>I41+J41-K41-L41-M41</f>
        <v>504.13499999999999</v>
      </c>
      <c r="O41" s="82">
        <f>SUM(Sheet1!I53:I56)</f>
        <v>672.0752463421918</v>
      </c>
      <c r="P41" s="70">
        <f t="shared" si="0"/>
        <v>179.31334754258216</v>
      </c>
      <c r="Q41" s="82">
        <f>SUM(O41:P41)</f>
        <v>851.38859388477397</v>
      </c>
      <c r="R41" s="81">
        <f>Q41-N41</f>
        <v>347.25359388477398</v>
      </c>
      <c r="S41" s="81">
        <f t="shared" si="8"/>
        <v>2336.4</v>
      </c>
      <c r="T41" s="81">
        <f t="shared" si="9"/>
        <v>811323.29675238591</v>
      </c>
      <c r="U41" s="96">
        <f t="shared" si="13"/>
        <v>811323.29675238591</v>
      </c>
      <c r="V41" s="96" t="s">
        <v>237</v>
      </c>
      <c r="W41" s="81"/>
      <c r="X41" s="5"/>
    </row>
    <row r="42" spans="2:24" s="2" customFormat="1" ht="48.75" customHeight="1" x14ac:dyDescent="0.25">
      <c r="B42" s="67">
        <v>17</v>
      </c>
      <c r="C42" s="179" t="s">
        <v>262</v>
      </c>
      <c r="D42" s="180"/>
      <c r="E42" s="85">
        <v>1</v>
      </c>
      <c r="F42" s="85">
        <v>6</v>
      </c>
      <c r="G42" s="85"/>
      <c r="H42" s="85">
        <v>26</v>
      </c>
      <c r="I42" s="77">
        <f t="shared" si="3"/>
        <v>629</v>
      </c>
      <c r="J42" s="83">
        <f t="shared" si="4"/>
        <v>207.9</v>
      </c>
      <c r="K42" s="84">
        <f t="shared" si="5"/>
        <v>41.844999999999999</v>
      </c>
      <c r="L42" s="84">
        <f t="shared" si="6"/>
        <v>83.69</v>
      </c>
      <c r="M42" s="84">
        <f>-(SUM(M10:M41)+SUM(M45:M61)+SUM(M63:M92))</f>
        <v>-296</v>
      </c>
      <c r="N42" s="81">
        <f t="shared" si="7"/>
        <v>1007.365</v>
      </c>
      <c r="O42" s="82">
        <f>SUM(Sheet1!I100:I105)</f>
        <v>1540.3463720513585</v>
      </c>
      <c r="P42" s="70">
        <f t="shared" si="0"/>
        <v>348.07885111207128</v>
      </c>
      <c r="Q42" s="82">
        <f t="shared" si="1"/>
        <v>1888.4252231634298</v>
      </c>
      <c r="R42" s="81">
        <f t="shared" si="2"/>
        <v>881.06022316342978</v>
      </c>
      <c r="S42" s="81">
        <f t="shared" si="8"/>
        <v>2336.4</v>
      </c>
      <c r="T42" s="81">
        <f t="shared" si="9"/>
        <v>2058509.1053990375</v>
      </c>
      <c r="U42" s="96">
        <f t="shared" si="13"/>
        <v>2058509.1053990375</v>
      </c>
      <c r="V42" s="96" t="s">
        <v>238</v>
      </c>
      <c r="W42" s="81"/>
      <c r="X42" s="5"/>
    </row>
    <row r="43" spans="2:24" s="2" customFormat="1" ht="42" customHeight="1" x14ac:dyDescent="0.25">
      <c r="B43" s="67">
        <v>18</v>
      </c>
      <c r="C43" s="179" t="s">
        <v>263</v>
      </c>
      <c r="D43" s="180"/>
      <c r="E43" s="85"/>
      <c r="F43" s="85"/>
      <c r="G43" s="85"/>
      <c r="H43" s="85"/>
      <c r="I43" s="77">
        <f>E43*115+F43*38+G43*28+H43*11</f>
        <v>0</v>
      </c>
      <c r="J43" s="83">
        <f>SUM(E43:H43)*6.3</f>
        <v>0</v>
      </c>
      <c r="K43" s="84">
        <f>(I43+J43)*5%</f>
        <v>0</v>
      </c>
      <c r="L43" s="84">
        <f t="shared" si="6"/>
        <v>0</v>
      </c>
      <c r="M43" s="84"/>
      <c r="N43" s="81">
        <f t="shared" si="7"/>
        <v>0</v>
      </c>
      <c r="O43" s="82">
        <f>Sheet1!I137</f>
        <v>91.83636906539266</v>
      </c>
      <c r="P43" s="70">
        <f t="shared" si="0"/>
        <v>0</v>
      </c>
      <c r="Q43" s="82">
        <f t="shared" si="1"/>
        <v>91.83636906539266</v>
      </c>
      <c r="R43" s="81">
        <f t="shared" si="2"/>
        <v>91.83636906539266</v>
      </c>
      <c r="S43" s="81">
        <f t="shared" si="8"/>
        <v>2336.4</v>
      </c>
      <c r="T43" s="81">
        <f>R43*S43</f>
        <v>214566.49268438341</v>
      </c>
      <c r="U43" s="96">
        <f t="shared" si="13"/>
        <v>214566.49268438341</v>
      </c>
      <c r="V43" s="96" t="s">
        <v>238</v>
      </c>
      <c r="W43" s="81"/>
      <c r="X43" s="5"/>
    </row>
    <row r="44" spans="2:24" s="2" customFormat="1" ht="24" customHeight="1" x14ac:dyDescent="0.25">
      <c r="B44" s="73" t="s">
        <v>217</v>
      </c>
      <c r="C44" s="188" t="s">
        <v>221</v>
      </c>
      <c r="D44" s="189"/>
      <c r="E44" s="85"/>
      <c r="F44" s="85"/>
      <c r="G44" s="85"/>
      <c r="H44" s="85"/>
      <c r="I44" s="77"/>
      <c r="J44" s="83"/>
      <c r="K44" s="84"/>
      <c r="L44" s="84"/>
      <c r="M44" s="84"/>
      <c r="N44" s="81"/>
      <c r="O44" s="82"/>
      <c r="P44" s="70"/>
      <c r="Q44" s="82"/>
      <c r="R44" s="81"/>
      <c r="S44" s="81"/>
      <c r="T44" s="81"/>
      <c r="U44" s="96"/>
      <c r="V44" s="96"/>
      <c r="W44" s="81"/>
      <c r="X44" s="5"/>
    </row>
    <row r="45" spans="2:24" s="2" customFormat="1" ht="21.95" customHeight="1" x14ac:dyDescent="0.25">
      <c r="B45" s="67">
        <v>1</v>
      </c>
      <c r="C45" s="181" t="s">
        <v>93</v>
      </c>
      <c r="D45" s="182"/>
      <c r="E45" s="85">
        <v>1</v>
      </c>
      <c r="F45" s="85"/>
      <c r="G45" s="85"/>
      <c r="H45" s="85"/>
      <c r="I45" s="77">
        <f t="shared" si="3"/>
        <v>115</v>
      </c>
      <c r="J45" s="83">
        <f t="shared" si="4"/>
        <v>6.3</v>
      </c>
      <c r="K45" s="84">
        <f t="shared" ref="K45:K61" si="14">(I45+J45)*5%</f>
        <v>6.0650000000000004</v>
      </c>
      <c r="L45" s="84">
        <f t="shared" ref="L45:L61" si="15">(I45+J45)*10%</f>
        <v>12.13</v>
      </c>
      <c r="M45" s="84"/>
      <c r="N45" s="81">
        <f t="shared" ref="N45:N61" si="16">I45+J45-K45-L45-M45</f>
        <v>103.105</v>
      </c>
      <c r="O45" s="82">
        <f>Sheet1!I58</f>
        <v>110.62108091967751</v>
      </c>
      <c r="P45" s="70">
        <f t="shared" ref="P45:P61" si="17">SUM(E45:H45)*$P$8/$P$92</f>
        <v>10.54784397309307</v>
      </c>
      <c r="Q45" s="82">
        <f t="shared" ref="Q45:Q61" si="18">SUM(O45:P45)</f>
        <v>121.16892489277058</v>
      </c>
      <c r="R45" s="81">
        <f t="shared" ref="R45:R61" si="19">Q45-N45</f>
        <v>18.063924892770572</v>
      </c>
      <c r="S45" s="81">
        <f t="shared" si="8"/>
        <v>2336.4</v>
      </c>
      <c r="T45" s="81">
        <f t="shared" ref="T45:T61" si="20">R45*S45</f>
        <v>42204.554119469169</v>
      </c>
      <c r="U45" s="96">
        <v>48042</v>
      </c>
      <c r="V45" s="96" t="s">
        <v>239</v>
      </c>
      <c r="W45" s="81"/>
      <c r="X45" s="5"/>
    </row>
    <row r="46" spans="2:24" s="2" customFormat="1" ht="47.25" customHeight="1" x14ac:dyDescent="0.25">
      <c r="B46" s="67">
        <v>2</v>
      </c>
      <c r="C46" s="181" t="s">
        <v>94</v>
      </c>
      <c r="D46" s="182"/>
      <c r="E46" s="85">
        <v>1</v>
      </c>
      <c r="F46" s="85"/>
      <c r="G46" s="85"/>
      <c r="H46" s="85"/>
      <c r="I46" s="77">
        <f t="shared" si="3"/>
        <v>115</v>
      </c>
      <c r="J46" s="83">
        <f t="shared" si="4"/>
        <v>6.3</v>
      </c>
      <c r="K46" s="84">
        <f t="shared" si="14"/>
        <v>6.0650000000000004</v>
      </c>
      <c r="L46" s="84">
        <f t="shared" si="15"/>
        <v>12.13</v>
      </c>
      <c r="M46" s="84"/>
      <c r="N46" s="81">
        <f t="shared" si="16"/>
        <v>103.105</v>
      </c>
      <c r="O46" s="82">
        <f>Sheet1!I59</f>
        <v>140.88533890713646</v>
      </c>
      <c r="P46" s="70">
        <f t="shared" si="17"/>
        <v>10.54784397309307</v>
      </c>
      <c r="Q46" s="82">
        <f>SUM(O46:P46)</f>
        <v>151.43318288022954</v>
      </c>
      <c r="R46" s="81">
        <f t="shared" si="19"/>
        <v>48.328182880229534</v>
      </c>
      <c r="S46" s="81">
        <f t="shared" si="8"/>
        <v>2336.4</v>
      </c>
      <c r="T46" s="81">
        <f t="shared" si="20"/>
        <v>112913.96648136829</v>
      </c>
      <c r="U46" s="96"/>
      <c r="V46" s="96" t="s">
        <v>240</v>
      </c>
      <c r="W46" s="126" t="s">
        <v>298</v>
      </c>
      <c r="X46" s="5"/>
    </row>
    <row r="47" spans="2:24" s="2" customFormat="1" ht="21.95" customHeight="1" x14ac:dyDescent="0.25">
      <c r="B47" s="67">
        <v>3</v>
      </c>
      <c r="C47" s="181" t="s">
        <v>95</v>
      </c>
      <c r="D47" s="182"/>
      <c r="E47" s="85">
        <v>1</v>
      </c>
      <c r="F47" s="85"/>
      <c r="G47" s="85"/>
      <c r="H47" s="85"/>
      <c r="I47" s="77">
        <f t="shared" si="3"/>
        <v>115</v>
      </c>
      <c r="J47" s="83">
        <f t="shared" si="4"/>
        <v>6.3</v>
      </c>
      <c r="K47" s="84">
        <f t="shared" si="14"/>
        <v>6.0650000000000004</v>
      </c>
      <c r="L47" s="84">
        <f t="shared" si="15"/>
        <v>12.13</v>
      </c>
      <c r="M47" s="84"/>
      <c r="N47" s="81">
        <f t="shared" si="16"/>
        <v>103.105</v>
      </c>
      <c r="O47" s="82">
        <f>Sheet1!I60</f>
        <v>371.51985667363391</v>
      </c>
      <c r="P47" s="70">
        <f t="shared" si="17"/>
        <v>10.54784397309307</v>
      </c>
      <c r="Q47" s="82">
        <f t="shared" si="18"/>
        <v>382.06770064672696</v>
      </c>
      <c r="R47" s="81">
        <f t="shared" si="19"/>
        <v>278.96270064672694</v>
      </c>
      <c r="S47" s="81">
        <f t="shared" si="8"/>
        <v>2336.4</v>
      </c>
      <c r="T47" s="81">
        <f t="shared" si="20"/>
        <v>651768.45379101287</v>
      </c>
      <c r="U47" s="96">
        <f>T47</f>
        <v>651768.45379101287</v>
      </c>
      <c r="V47" s="96" t="s">
        <v>241</v>
      </c>
      <c r="W47" s="81"/>
      <c r="X47" s="5"/>
    </row>
    <row r="48" spans="2:24" s="2" customFormat="1" ht="21.95" customHeight="1" x14ac:dyDescent="0.25">
      <c r="B48" s="67">
        <v>4</v>
      </c>
      <c r="C48" s="181" t="s">
        <v>96</v>
      </c>
      <c r="D48" s="182"/>
      <c r="E48" s="85">
        <v>2</v>
      </c>
      <c r="F48" s="85"/>
      <c r="G48" s="85"/>
      <c r="H48" s="85"/>
      <c r="I48" s="77">
        <f t="shared" si="3"/>
        <v>230</v>
      </c>
      <c r="J48" s="83">
        <f t="shared" si="4"/>
        <v>12.6</v>
      </c>
      <c r="K48" s="84">
        <f t="shared" si="14"/>
        <v>12.13</v>
      </c>
      <c r="L48" s="84">
        <f t="shared" si="15"/>
        <v>24.26</v>
      </c>
      <c r="M48" s="84"/>
      <c r="N48" s="81">
        <f t="shared" si="16"/>
        <v>206.21</v>
      </c>
      <c r="O48" s="82">
        <f>Sheet1!I61</f>
        <v>298.46819946252612</v>
      </c>
      <c r="P48" s="70">
        <f t="shared" si="17"/>
        <v>21.095687946186139</v>
      </c>
      <c r="Q48" s="82">
        <f t="shared" si="18"/>
        <v>319.56388740871228</v>
      </c>
      <c r="R48" s="81">
        <f t="shared" si="19"/>
        <v>113.35388740871227</v>
      </c>
      <c r="S48" s="81">
        <f t="shared" si="8"/>
        <v>2336.4</v>
      </c>
      <c r="T48" s="81">
        <f t="shared" si="20"/>
        <v>264840.02254171536</v>
      </c>
      <c r="U48" s="96">
        <f>T48</f>
        <v>264840.02254171536</v>
      </c>
      <c r="V48" s="96" t="s">
        <v>242</v>
      </c>
      <c r="W48" s="81"/>
      <c r="X48" s="5"/>
    </row>
    <row r="49" spans="2:24" s="2" customFormat="1" ht="21.95" customHeight="1" x14ac:dyDescent="0.25">
      <c r="B49" s="67">
        <v>5</v>
      </c>
      <c r="C49" s="179" t="s">
        <v>187</v>
      </c>
      <c r="D49" s="180"/>
      <c r="E49" s="85">
        <v>2</v>
      </c>
      <c r="F49" s="85">
        <v>1</v>
      </c>
      <c r="G49" s="85"/>
      <c r="H49" s="85"/>
      <c r="I49" s="77">
        <f t="shared" si="3"/>
        <v>268</v>
      </c>
      <c r="J49" s="83">
        <f t="shared" si="4"/>
        <v>18.899999999999999</v>
      </c>
      <c r="K49" s="84">
        <f t="shared" si="14"/>
        <v>14.344999999999999</v>
      </c>
      <c r="L49" s="84">
        <f t="shared" si="15"/>
        <v>28.689999999999998</v>
      </c>
      <c r="M49" s="84">
        <f t="shared" ref="M49:M61" si="21">SUM(E49:H49)*2</f>
        <v>6</v>
      </c>
      <c r="N49" s="81">
        <f t="shared" si="16"/>
        <v>237.86499999999995</v>
      </c>
      <c r="O49" s="82">
        <f>Sheet1!I62</f>
        <v>224.37294714840252</v>
      </c>
      <c r="P49" s="70">
        <f t="shared" si="17"/>
        <v>31.643531919279209</v>
      </c>
      <c r="Q49" s="82">
        <f t="shared" si="18"/>
        <v>256.0164790676817</v>
      </c>
      <c r="R49" s="81">
        <f t="shared" si="19"/>
        <v>18.151479067681748</v>
      </c>
      <c r="S49" s="81">
        <f t="shared" si="8"/>
        <v>2336.4</v>
      </c>
      <c r="T49" s="81">
        <f t="shared" si="20"/>
        <v>42409.115693731641</v>
      </c>
      <c r="U49" s="96">
        <f>T49</f>
        <v>42409.115693731641</v>
      </c>
      <c r="V49" s="96" t="s">
        <v>243</v>
      </c>
      <c r="W49" s="81"/>
      <c r="X49" s="5"/>
    </row>
    <row r="50" spans="2:24" s="2" customFormat="1" ht="21.95" customHeight="1" x14ac:dyDescent="0.25">
      <c r="B50" s="218">
        <v>6</v>
      </c>
      <c r="C50" s="183" t="s">
        <v>188</v>
      </c>
      <c r="D50" s="41" t="s">
        <v>317</v>
      </c>
      <c r="E50" s="85">
        <v>1</v>
      </c>
      <c r="F50" s="85"/>
      <c r="G50" s="85">
        <v>1</v>
      </c>
      <c r="H50" s="85"/>
      <c r="I50" s="77">
        <f t="shared" si="3"/>
        <v>143</v>
      </c>
      <c r="J50" s="83">
        <f t="shared" si="4"/>
        <v>12.6</v>
      </c>
      <c r="K50" s="84">
        <f t="shared" si="14"/>
        <v>7.78</v>
      </c>
      <c r="L50" s="84">
        <f t="shared" si="15"/>
        <v>15.56</v>
      </c>
      <c r="M50" s="84">
        <f t="shared" si="21"/>
        <v>4</v>
      </c>
      <c r="N50" s="81">
        <f t="shared" si="16"/>
        <v>128.26</v>
      </c>
      <c r="O50" s="82">
        <f>Sheet1!I63</f>
        <v>196.19587936697522</v>
      </c>
      <c r="P50" s="70">
        <f t="shared" si="17"/>
        <v>21.095687946186139</v>
      </c>
      <c r="Q50" s="82">
        <f t="shared" si="18"/>
        <v>217.29156731316135</v>
      </c>
      <c r="R50" s="81">
        <f t="shared" si="19"/>
        <v>89.031567313161361</v>
      </c>
      <c r="S50" s="81">
        <f t="shared" si="8"/>
        <v>2336.4</v>
      </c>
      <c r="T50" s="81">
        <f t="shared" si="20"/>
        <v>208013.35387047022</v>
      </c>
      <c r="U50" s="176">
        <f>T51+T50</f>
        <v>739621.97964897263</v>
      </c>
      <c r="V50" s="173" t="s">
        <v>323</v>
      </c>
      <c r="W50" s="167"/>
      <c r="X50" s="5"/>
    </row>
    <row r="51" spans="2:24" s="2" customFormat="1" ht="21.95" customHeight="1" x14ac:dyDescent="0.25">
      <c r="B51" s="220"/>
      <c r="C51" s="185"/>
      <c r="D51" s="41" t="s">
        <v>97</v>
      </c>
      <c r="E51" s="85"/>
      <c r="F51" s="85">
        <v>1</v>
      </c>
      <c r="G51" s="85">
        <v>1</v>
      </c>
      <c r="H51" s="85"/>
      <c r="I51" s="77">
        <f>E51*115+F51*38+G51*28+H51*11</f>
        <v>66</v>
      </c>
      <c r="J51" s="83">
        <f>SUM(E51:H51)*6.3</f>
        <v>12.6</v>
      </c>
      <c r="K51" s="84">
        <f>(I51+J51)*5%</f>
        <v>3.9299999999999997</v>
      </c>
      <c r="L51" s="84">
        <f>(I51+J51)*10%</f>
        <v>7.8599999999999994</v>
      </c>
      <c r="M51" s="84">
        <f>SUM(E51:H51)*2</f>
        <v>4</v>
      </c>
      <c r="N51" s="81">
        <f>I51+J51-K51-L51-M51</f>
        <v>62.809999999999988</v>
      </c>
      <c r="O51" s="82">
        <f>Sheet1!I64</f>
        <v>269.24753657808299</v>
      </c>
      <c r="P51" s="70">
        <f t="shared" si="17"/>
        <v>21.095687946186139</v>
      </c>
      <c r="Q51" s="82">
        <f>SUM(O51:P51)</f>
        <v>290.34322452426915</v>
      </c>
      <c r="R51" s="81">
        <f>Q51-N51</f>
        <v>227.53322452426914</v>
      </c>
      <c r="S51" s="81">
        <f t="shared" si="8"/>
        <v>2336.4</v>
      </c>
      <c r="T51" s="81">
        <f>R51*S51</f>
        <v>531608.62577850244</v>
      </c>
      <c r="U51" s="178"/>
      <c r="V51" s="175"/>
      <c r="W51" s="169"/>
      <c r="X51" s="5"/>
    </row>
    <row r="52" spans="2:24" s="2" customFormat="1" ht="21.95" customHeight="1" x14ac:dyDescent="0.25">
      <c r="B52" s="218">
        <v>7</v>
      </c>
      <c r="C52" s="183" t="s">
        <v>189</v>
      </c>
      <c r="D52" s="41" t="s">
        <v>317</v>
      </c>
      <c r="E52" s="85"/>
      <c r="F52" s="85">
        <v>3</v>
      </c>
      <c r="G52" s="85"/>
      <c r="H52" s="85"/>
      <c r="I52" s="77">
        <f t="shared" si="3"/>
        <v>114</v>
      </c>
      <c r="J52" s="83">
        <f t="shared" si="4"/>
        <v>18.899999999999999</v>
      </c>
      <c r="K52" s="84">
        <f t="shared" si="14"/>
        <v>6.6450000000000005</v>
      </c>
      <c r="L52" s="84">
        <f t="shared" si="15"/>
        <v>13.290000000000001</v>
      </c>
      <c r="M52" s="84">
        <f t="shared" si="21"/>
        <v>6</v>
      </c>
      <c r="N52" s="81">
        <f t="shared" si="16"/>
        <v>106.965</v>
      </c>
      <c r="O52" s="82">
        <f>Sheet1!I65</f>
        <v>63.659301283965362</v>
      </c>
      <c r="P52" s="70">
        <f t="shared" si="17"/>
        <v>31.643531919279209</v>
      </c>
      <c r="Q52" s="82">
        <f t="shared" si="18"/>
        <v>95.302833203244575</v>
      </c>
      <c r="R52" s="81">
        <f t="shared" si="19"/>
        <v>-11.662166796755429</v>
      </c>
      <c r="S52" s="81">
        <f t="shared" si="8"/>
        <v>2336.4</v>
      </c>
      <c r="T52" s="81">
        <f t="shared" si="20"/>
        <v>-27247.486503939384</v>
      </c>
      <c r="U52" s="176">
        <f>T52+T53</f>
        <v>70704.997918934561</v>
      </c>
      <c r="V52" s="173" t="s">
        <v>280</v>
      </c>
      <c r="W52" s="167"/>
      <c r="X52" s="5"/>
    </row>
    <row r="53" spans="2:24" s="2" customFormat="1" ht="21.95" customHeight="1" x14ac:dyDescent="0.25">
      <c r="B53" s="220"/>
      <c r="C53" s="185"/>
      <c r="D53" s="41" t="s">
        <v>98</v>
      </c>
      <c r="E53" s="85"/>
      <c r="F53" s="85"/>
      <c r="G53" s="85">
        <v>2</v>
      </c>
      <c r="H53" s="85"/>
      <c r="I53" s="77">
        <f>E53*115+F53*38+G53*28+H53*11</f>
        <v>56</v>
      </c>
      <c r="J53" s="83">
        <f>SUM(E53:H53)*6.3</f>
        <v>12.6</v>
      </c>
      <c r="K53" s="84">
        <f>(I53+J53)*5%</f>
        <v>3.4299999999999997</v>
      </c>
      <c r="L53" s="84">
        <f>(I53+J53)*10%</f>
        <v>6.8599999999999994</v>
      </c>
      <c r="M53" s="84">
        <f>SUM(E53:H53)*2</f>
        <v>4</v>
      </c>
      <c r="N53" s="81">
        <f>I53+J53-K53-L53-M53</f>
        <v>54.309999999999988</v>
      </c>
      <c r="O53" s="82">
        <f>Sheet1!I66</f>
        <v>75.138847417139445</v>
      </c>
      <c r="P53" s="70">
        <f t="shared" si="17"/>
        <v>21.095687946186139</v>
      </c>
      <c r="Q53" s="82">
        <f>SUM(O53:P53)</f>
        <v>96.234535363325591</v>
      </c>
      <c r="R53" s="81">
        <f>Q53-N53</f>
        <v>41.924535363325603</v>
      </c>
      <c r="S53" s="81">
        <f t="shared" si="8"/>
        <v>2336.4</v>
      </c>
      <c r="T53" s="81">
        <f>R53*S53</f>
        <v>97952.484422873938</v>
      </c>
      <c r="U53" s="178"/>
      <c r="V53" s="175"/>
      <c r="W53" s="169"/>
      <c r="X53" s="5"/>
    </row>
    <row r="54" spans="2:24" s="2" customFormat="1" ht="21.95" customHeight="1" x14ac:dyDescent="0.25">
      <c r="B54" s="218">
        <v>8</v>
      </c>
      <c r="C54" s="183" t="s">
        <v>190</v>
      </c>
      <c r="D54" s="41" t="s">
        <v>99</v>
      </c>
      <c r="E54" s="85">
        <v>1</v>
      </c>
      <c r="F54" s="85">
        <v>1</v>
      </c>
      <c r="G54" s="85"/>
      <c r="H54" s="85"/>
      <c r="I54" s="77">
        <f t="shared" si="3"/>
        <v>153</v>
      </c>
      <c r="J54" s="83">
        <f t="shared" si="4"/>
        <v>12.6</v>
      </c>
      <c r="K54" s="84">
        <f t="shared" si="14"/>
        <v>8.2799999999999994</v>
      </c>
      <c r="L54" s="84">
        <f t="shared" si="15"/>
        <v>16.559999999999999</v>
      </c>
      <c r="M54" s="84">
        <f t="shared" si="21"/>
        <v>4</v>
      </c>
      <c r="N54" s="81">
        <f t="shared" si="16"/>
        <v>136.76</v>
      </c>
      <c r="O54" s="82">
        <f>Sheet1!I67</f>
        <v>131.49298297999403</v>
      </c>
      <c r="P54" s="70">
        <f t="shared" si="17"/>
        <v>21.095687946186139</v>
      </c>
      <c r="Q54" s="82">
        <f t="shared" si="18"/>
        <v>152.58867092618016</v>
      </c>
      <c r="R54" s="81">
        <f t="shared" si="19"/>
        <v>15.828670926180166</v>
      </c>
      <c r="S54" s="81">
        <f t="shared" si="8"/>
        <v>2336.4</v>
      </c>
      <c r="T54" s="81">
        <f t="shared" si="20"/>
        <v>36982.106751927342</v>
      </c>
      <c r="U54" s="176">
        <f>T54+T55+T56</f>
        <v>327061.20328770136</v>
      </c>
      <c r="V54" s="173" t="s">
        <v>244</v>
      </c>
      <c r="W54" s="167"/>
      <c r="X54" s="105"/>
    </row>
    <row r="55" spans="2:24" s="2" customFormat="1" ht="21.95" customHeight="1" x14ac:dyDescent="0.25">
      <c r="B55" s="219"/>
      <c r="C55" s="184"/>
      <c r="D55" s="41" t="s">
        <v>100</v>
      </c>
      <c r="E55" s="85"/>
      <c r="F55" s="85">
        <v>1</v>
      </c>
      <c r="G55" s="85"/>
      <c r="H55" s="85"/>
      <c r="I55" s="77">
        <f>E55*115+F55*38+G55*28+H55*11</f>
        <v>38</v>
      </c>
      <c r="J55" s="83">
        <f>SUM(E55:H55)*6.3</f>
        <v>6.3</v>
      </c>
      <c r="K55" s="84">
        <f>(I55+J55)*5%</f>
        <v>2.2149999999999999</v>
      </c>
      <c r="L55" s="84">
        <f>(I55+J55)*10%</f>
        <v>4.43</v>
      </c>
      <c r="M55" s="84">
        <f>SUM(E55:H55)*2</f>
        <v>2</v>
      </c>
      <c r="N55" s="81">
        <f>I55+J55-K55-L55-M55</f>
        <v>35.654999999999994</v>
      </c>
      <c r="O55" s="82">
        <f>Sheet1!I68</f>
        <v>16.697521648253211</v>
      </c>
      <c r="P55" s="70">
        <f t="shared" si="17"/>
        <v>10.54784397309307</v>
      </c>
      <c r="Q55" s="82">
        <f>SUM(O55:P55)</f>
        <v>27.245365621346281</v>
      </c>
      <c r="R55" s="81">
        <f>Q55-N55</f>
        <v>-8.4096343786537133</v>
      </c>
      <c r="S55" s="81">
        <f t="shared" si="8"/>
        <v>2336.4</v>
      </c>
      <c r="T55" s="81">
        <f>R55*S55</f>
        <v>-19648.269762286538</v>
      </c>
      <c r="U55" s="177"/>
      <c r="V55" s="174"/>
      <c r="W55" s="168"/>
      <c r="X55" s="5"/>
    </row>
    <row r="56" spans="2:24" s="2" customFormat="1" ht="21.95" customHeight="1" x14ac:dyDescent="0.25">
      <c r="B56" s="220"/>
      <c r="C56" s="185"/>
      <c r="D56" s="41" t="s">
        <v>101</v>
      </c>
      <c r="E56" s="85"/>
      <c r="F56" s="85">
        <v>1</v>
      </c>
      <c r="G56" s="85">
        <v>1</v>
      </c>
      <c r="H56" s="85"/>
      <c r="I56" s="77">
        <f>E56*115+F56*38+G56*28+H56*11</f>
        <v>66</v>
      </c>
      <c r="J56" s="83">
        <f>SUM(E56:H56)*6.3</f>
        <v>12.6</v>
      </c>
      <c r="K56" s="84">
        <f>(I56+J56)*5%</f>
        <v>3.9299999999999997</v>
      </c>
      <c r="L56" s="84">
        <f>(I56+J56)*10%</f>
        <v>7.8599999999999994</v>
      </c>
      <c r="M56" s="84">
        <f>SUM(E56:H56)*2</f>
        <v>4</v>
      </c>
      <c r="N56" s="81">
        <f>I56+J56-K56-L56-M56</f>
        <v>62.809999999999988</v>
      </c>
      <c r="O56" s="82">
        <f>Sheet1!I69</f>
        <v>174.28038220364289</v>
      </c>
      <c r="P56" s="70">
        <f t="shared" si="17"/>
        <v>21.095687946186139</v>
      </c>
      <c r="Q56" s="82">
        <f>SUM(O56:P56)</f>
        <v>195.37607014982902</v>
      </c>
      <c r="R56" s="81">
        <f>Q56-N56</f>
        <v>132.56607014982905</v>
      </c>
      <c r="S56" s="81">
        <f t="shared" si="8"/>
        <v>2336.4</v>
      </c>
      <c r="T56" s="81">
        <f>R56*S56</f>
        <v>309727.36629806057</v>
      </c>
      <c r="U56" s="178"/>
      <c r="V56" s="175"/>
      <c r="W56" s="169"/>
      <c r="X56" s="5"/>
    </row>
    <row r="57" spans="2:24" s="2" customFormat="1" ht="21.95" customHeight="1" x14ac:dyDescent="0.25">
      <c r="B57" s="218">
        <v>9</v>
      </c>
      <c r="C57" s="183" t="s">
        <v>191</v>
      </c>
      <c r="D57" s="41" t="s">
        <v>102</v>
      </c>
      <c r="E57" s="85"/>
      <c r="F57" s="85">
        <v>3</v>
      </c>
      <c r="G57" s="85"/>
      <c r="H57" s="85"/>
      <c r="I57" s="77">
        <f t="shared" si="3"/>
        <v>114</v>
      </c>
      <c r="J57" s="83">
        <f t="shared" si="4"/>
        <v>18.899999999999999</v>
      </c>
      <c r="K57" s="84">
        <f t="shared" si="14"/>
        <v>6.6450000000000005</v>
      </c>
      <c r="L57" s="84">
        <f t="shared" si="15"/>
        <v>13.290000000000001</v>
      </c>
      <c r="M57" s="84">
        <f t="shared" si="21"/>
        <v>6</v>
      </c>
      <c r="N57" s="81">
        <f t="shared" si="16"/>
        <v>106.965</v>
      </c>
      <c r="O57" s="82">
        <f>Sheet1!I70</f>
        <v>127.31860256793072</v>
      </c>
      <c r="P57" s="70">
        <f t="shared" si="17"/>
        <v>31.643531919279209</v>
      </c>
      <c r="Q57" s="82">
        <f t="shared" si="18"/>
        <v>158.96213448720994</v>
      </c>
      <c r="R57" s="81">
        <f t="shared" si="19"/>
        <v>51.997134487209934</v>
      </c>
      <c r="S57" s="81">
        <f t="shared" si="8"/>
        <v>2336.4</v>
      </c>
      <c r="T57" s="81">
        <f t="shared" si="20"/>
        <v>121486.10501591729</v>
      </c>
      <c r="U57" s="176">
        <f>T57+T58+T59</f>
        <v>408842.49600741093</v>
      </c>
      <c r="V57" s="173" t="s">
        <v>271</v>
      </c>
      <c r="W57" s="167"/>
      <c r="X57" s="5"/>
    </row>
    <row r="58" spans="2:24" s="2" customFormat="1" ht="21.95" customHeight="1" x14ac:dyDescent="0.25">
      <c r="B58" s="219"/>
      <c r="C58" s="184"/>
      <c r="D58" s="41" t="s">
        <v>293</v>
      </c>
      <c r="E58" s="85"/>
      <c r="F58" s="85">
        <v>1</v>
      </c>
      <c r="G58" s="85"/>
      <c r="H58" s="85"/>
      <c r="I58" s="77">
        <f t="shared" si="3"/>
        <v>38</v>
      </c>
      <c r="J58" s="83">
        <f t="shared" si="4"/>
        <v>6.3</v>
      </c>
      <c r="K58" s="84">
        <f t="shared" si="14"/>
        <v>2.2149999999999999</v>
      </c>
      <c r="L58" s="84">
        <f t="shared" si="15"/>
        <v>4.43</v>
      </c>
      <c r="M58" s="84">
        <f t="shared" si="21"/>
        <v>2</v>
      </c>
      <c r="N58" s="81">
        <f t="shared" si="16"/>
        <v>35.654999999999994</v>
      </c>
      <c r="O58" s="82">
        <f>Sheet1!I71+Sheet1!I72</f>
        <v>79.313227829202745</v>
      </c>
      <c r="P58" s="70">
        <f t="shared" si="17"/>
        <v>10.54784397309307</v>
      </c>
      <c r="Q58" s="82">
        <f t="shared" ref="Q58" si="22">SUM(O58:P58)</f>
        <v>89.861071802295811</v>
      </c>
      <c r="R58" s="81">
        <f t="shared" ref="R58" si="23">Q58-N58</f>
        <v>54.206071802295817</v>
      </c>
      <c r="S58" s="81">
        <f t="shared" si="8"/>
        <v>2336.4</v>
      </c>
      <c r="T58" s="81">
        <f t="shared" ref="T58" si="24">R58*S58</f>
        <v>126647.06615888396</v>
      </c>
      <c r="U58" s="177"/>
      <c r="V58" s="174"/>
      <c r="W58" s="168"/>
      <c r="X58" s="5"/>
    </row>
    <row r="59" spans="2:24" s="2" customFormat="1" ht="21.95" customHeight="1" x14ac:dyDescent="0.25">
      <c r="B59" s="220"/>
      <c r="C59" s="185"/>
      <c r="D59" s="41" t="s">
        <v>103</v>
      </c>
      <c r="E59" s="85"/>
      <c r="F59" s="85">
        <v>3</v>
      </c>
      <c r="G59" s="85">
        <v>1</v>
      </c>
      <c r="H59" s="85"/>
      <c r="I59" s="77">
        <f>E59*115+F59*38+G59*28+H59*11</f>
        <v>142</v>
      </c>
      <c r="J59" s="83">
        <f>SUM(E59:H59)*6.3</f>
        <v>25.2</v>
      </c>
      <c r="K59" s="84">
        <f>(I59+J59)*5%</f>
        <v>8.36</v>
      </c>
      <c r="L59" s="84">
        <f>(I59+J59)*10%</f>
        <v>16.72</v>
      </c>
      <c r="M59" s="84">
        <f>SUM(E59:H59)*2</f>
        <v>8</v>
      </c>
      <c r="N59" s="81">
        <f>I59+J59-K59-L59-M59</f>
        <v>134.11999999999998</v>
      </c>
      <c r="O59" s="82">
        <f>Sheet1!I73</f>
        <v>160.71364586443715</v>
      </c>
      <c r="P59" s="70">
        <f t="shared" si="17"/>
        <v>42.191375892372278</v>
      </c>
      <c r="Q59" s="82">
        <f>SUM(O59:P59)</f>
        <v>202.90502175680945</v>
      </c>
      <c r="R59" s="81">
        <f>Q59-N59</f>
        <v>68.785021756809471</v>
      </c>
      <c r="S59" s="81">
        <f t="shared" si="8"/>
        <v>2336.4</v>
      </c>
      <c r="T59" s="81">
        <f>R59*S59</f>
        <v>160709.32483260965</v>
      </c>
      <c r="U59" s="178"/>
      <c r="V59" s="175"/>
      <c r="W59" s="169"/>
      <c r="X59" s="5"/>
    </row>
    <row r="60" spans="2:24" s="2" customFormat="1" ht="30.75" customHeight="1" x14ac:dyDescent="0.25">
      <c r="B60" s="67">
        <v>10</v>
      </c>
      <c r="C60" s="179" t="s">
        <v>192</v>
      </c>
      <c r="D60" s="180"/>
      <c r="E60" s="85"/>
      <c r="F60" s="85">
        <v>2</v>
      </c>
      <c r="G60" s="85"/>
      <c r="H60" s="85"/>
      <c r="I60" s="77">
        <f t="shared" si="3"/>
        <v>76</v>
      </c>
      <c r="J60" s="83">
        <f t="shared" si="4"/>
        <v>12.6</v>
      </c>
      <c r="K60" s="84">
        <f t="shared" si="14"/>
        <v>4.43</v>
      </c>
      <c r="L60" s="84">
        <f t="shared" si="15"/>
        <v>8.86</v>
      </c>
      <c r="M60" s="84">
        <f t="shared" si="21"/>
        <v>4</v>
      </c>
      <c r="N60" s="81">
        <f t="shared" si="16"/>
        <v>71.309999999999988</v>
      </c>
      <c r="O60" s="82">
        <f>Sheet1!I74</f>
        <v>125.23141236189907</v>
      </c>
      <c r="P60" s="70">
        <f t="shared" si="17"/>
        <v>21.095687946186139</v>
      </c>
      <c r="Q60" s="82">
        <f t="shared" si="18"/>
        <v>146.32710030808522</v>
      </c>
      <c r="R60" s="81">
        <f t="shared" si="19"/>
        <v>75.017100308085233</v>
      </c>
      <c r="S60" s="81">
        <f t="shared" si="8"/>
        <v>2336.4</v>
      </c>
      <c r="T60" s="81">
        <f t="shared" si="20"/>
        <v>175269.95315981033</v>
      </c>
      <c r="U60" s="96">
        <f>T60</f>
        <v>175269.95315981033</v>
      </c>
      <c r="V60" s="96" t="s">
        <v>324</v>
      </c>
      <c r="W60" s="81"/>
      <c r="X60" s="5"/>
    </row>
    <row r="61" spans="2:24" s="2" customFormat="1" ht="21" customHeight="1" x14ac:dyDescent="0.25">
      <c r="B61" s="67">
        <v>11</v>
      </c>
      <c r="C61" s="179" t="s">
        <v>268</v>
      </c>
      <c r="D61" s="180"/>
      <c r="E61" s="85">
        <v>1</v>
      </c>
      <c r="F61" s="85">
        <v>1</v>
      </c>
      <c r="G61" s="85"/>
      <c r="H61" s="85"/>
      <c r="I61" s="77">
        <f t="shared" si="3"/>
        <v>153</v>
      </c>
      <c r="J61" s="83">
        <f t="shared" si="4"/>
        <v>12.6</v>
      </c>
      <c r="K61" s="84">
        <f t="shared" si="14"/>
        <v>8.2799999999999994</v>
      </c>
      <c r="L61" s="84">
        <f t="shared" si="15"/>
        <v>16.559999999999999</v>
      </c>
      <c r="M61" s="84">
        <f t="shared" si="21"/>
        <v>4</v>
      </c>
      <c r="N61" s="81">
        <f t="shared" si="16"/>
        <v>136.76</v>
      </c>
      <c r="O61" s="82">
        <f>Sheet1!I75</f>
        <v>166.97521648253209</v>
      </c>
      <c r="P61" s="70">
        <f t="shared" si="17"/>
        <v>21.095687946186139</v>
      </c>
      <c r="Q61" s="82">
        <f t="shared" si="18"/>
        <v>188.07090442871822</v>
      </c>
      <c r="R61" s="81">
        <f t="shared" si="19"/>
        <v>51.310904428718231</v>
      </c>
      <c r="S61" s="81">
        <f t="shared" si="8"/>
        <v>2336.4</v>
      </c>
      <c r="T61" s="81">
        <f t="shared" si="20"/>
        <v>119882.79710725728</v>
      </c>
      <c r="U61" s="96">
        <f>T61</f>
        <v>119882.79710725728</v>
      </c>
      <c r="V61" s="96" t="s">
        <v>284</v>
      </c>
      <c r="W61" s="81"/>
      <c r="X61" s="5"/>
    </row>
    <row r="62" spans="2:24" s="2" customFormat="1" ht="29.1" customHeight="1" x14ac:dyDescent="0.25">
      <c r="B62" s="91" t="s">
        <v>219</v>
      </c>
      <c r="C62" s="188" t="s">
        <v>220</v>
      </c>
      <c r="D62" s="189"/>
      <c r="E62" s="85"/>
      <c r="F62" s="85"/>
      <c r="G62" s="85"/>
      <c r="H62" s="85"/>
      <c r="I62" s="77"/>
      <c r="J62" s="83"/>
      <c r="K62" s="84"/>
      <c r="L62" s="84"/>
      <c r="M62" s="84"/>
      <c r="N62" s="81"/>
      <c r="O62" s="82"/>
      <c r="P62" s="70"/>
      <c r="Q62" s="82"/>
      <c r="R62" s="81"/>
      <c r="S62" s="81"/>
      <c r="T62" s="81"/>
      <c r="U62" s="96"/>
      <c r="V62" s="96"/>
      <c r="W62" s="81"/>
      <c r="X62" s="5"/>
    </row>
    <row r="63" spans="2:24" s="2" customFormat="1" ht="29.1" customHeight="1" x14ac:dyDescent="0.25">
      <c r="B63" s="86">
        <v>1</v>
      </c>
      <c r="C63" s="181" t="s">
        <v>110</v>
      </c>
      <c r="D63" s="182"/>
      <c r="E63" s="85">
        <v>1</v>
      </c>
      <c r="F63" s="85"/>
      <c r="G63" s="85"/>
      <c r="H63" s="85"/>
      <c r="I63" s="77">
        <f t="shared" si="3"/>
        <v>115</v>
      </c>
      <c r="J63" s="83">
        <f t="shared" si="4"/>
        <v>6.3</v>
      </c>
      <c r="K63" s="84">
        <f t="shared" ref="K63:K82" si="25">(I63+J63)*5%</f>
        <v>6.0650000000000004</v>
      </c>
      <c r="L63" s="84">
        <f t="shared" ref="L63:L82" si="26">(I63+J63)*10%</f>
        <v>12.13</v>
      </c>
      <c r="M63" s="84"/>
      <c r="N63" s="81">
        <f t="shared" ref="N63:N82" si="27">I63+J63-K63-L63-M63</f>
        <v>103.105</v>
      </c>
      <c r="O63" s="82">
        <f>Sheet1!I77</f>
        <v>199.32666467602269</v>
      </c>
      <c r="P63" s="70">
        <f t="shared" ref="P63:P84" si="28">SUM(E63:H63)*$P$8/$P$92</f>
        <v>10.54784397309307</v>
      </c>
      <c r="Q63" s="82">
        <f t="shared" ref="Q63:Q82" si="29">SUM(O63:P63)</f>
        <v>209.87450864911577</v>
      </c>
      <c r="R63" s="81">
        <f t="shared" ref="R63:R82" si="30">Q63-N63</f>
        <v>106.76950864911576</v>
      </c>
      <c r="S63" s="81">
        <f t="shared" si="8"/>
        <v>2336.4</v>
      </c>
      <c r="T63" s="81">
        <f t="shared" ref="T63:T82" si="31">R63*S63</f>
        <v>249456.28000779409</v>
      </c>
      <c r="U63" s="96">
        <f t="shared" ref="U63:U68" si="32">T63</f>
        <v>249456.28000779409</v>
      </c>
      <c r="V63" s="96" t="s">
        <v>245</v>
      </c>
      <c r="W63" s="81"/>
      <c r="X63" s="5"/>
    </row>
    <row r="64" spans="2:24" s="2" customFormat="1" ht="29.1" customHeight="1" x14ac:dyDescent="0.25">
      <c r="B64" s="86">
        <v>2</v>
      </c>
      <c r="C64" s="181" t="s">
        <v>111</v>
      </c>
      <c r="D64" s="182"/>
      <c r="E64" s="85"/>
      <c r="F64" s="85">
        <v>1</v>
      </c>
      <c r="G64" s="85"/>
      <c r="H64" s="85"/>
      <c r="I64" s="77">
        <f t="shared" si="3"/>
        <v>38</v>
      </c>
      <c r="J64" s="83">
        <f t="shared" si="4"/>
        <v>6.3</v>
      </c>
      <c r="K64" s="84">
        <f t="shared" si="25"/>
        <v>2.2149999999999999</v>
      </c>
      <c r="L64" s="84">
        <f t="shared" si="26"/>
        <v>4.43</v>
      </c>
      <c r="M64" s="84"/>
      <c r="N64" s="81">
        <f t="shared" si="27"/>
        <v>37.654999999999994</v>
      </c>
      <c r="O64" s="82">
        <f>Sheet1!I78</f>
        <v>83.487608241266045</v>
      </c>
      <c r="P64" s="70">
        <f t="shared" si="28"/>
        <v>10.54784397309307</v>
      </c>
      <c r="Q64" s="82">
        <f t="shared" si="29"/>
        <v>94.035452214359111</v>
      </c>
      <c r="R64" s="81">
        <f t="shared" si="30"/>
        <v>56.380452214359117</v>
      </c>
      <c r="S64" s="81">
        <f t="shared" si="8"/>
        <v>2336.4</v>
      </c>
      <c r="T64" s="81">
        <f t="shared" si="31"/>
        <v>131727.28855362863</v>
      </c>
      <c r="U64" s="96">
        <f t="shared" si="32"/>
        <v>131727.28855362863</v>
      </c>
      <c r="V64" s="96" t="s">
        <v>246</v>
      </c>
      <c r="W64" s="81"/>
      <c r="X64" s="5"/>
    </row>
    <row r="65" spans="2:24" s="2" customFormat="1" ht="29.1" customHeight="1" x14ac:dyDescent="0.25">
      <c r="B65" s="86">
        <v>3</v>
      </c>
      <c r="C65" s="181" t="s">
        <v>112</v>
      </c>
      <c r="D65" s="182"/>
      <c r="E65" s="85">
        <v>1</v>
      </c>
      <c r="F65" s="85"/>
      <c r="G65" s="85"/>
      <c r="H65" s="85"/>
      <c r="I65" s="77">
        <f t="shared" si="3"/>
        <v>115</v>
      </c>
      <c r="J65" s="83">
        <f t="shared" si="4"/>
        <v>6.3</v>
      </c>
      <c r="K65" s="84">
        <f t="shared" si="25"/>
        <v>6.0650000000000004</v>
      </c>
      <c r="L65" s="84">
        <f t="shared" si="26"/>
        <v>12.13</v>
      </c>
      <c r="M65" s="84"/>
      <c r="N65" s="81">
        <f t="shared" si="27"/>
        <v>103.105</v>
      </c>
      <c r="O65" s="82">
        <f>Sheet1!I79</f>
        <v>180.54195282173782</v>
      </c>
      <c r="P65" s="70">
        <f t="shared" si="28"/>
        <v>10.54784397309307</v>
      </c>
      <c r="Q65" s="82">
        <f t="shared" si="29"/>
        <v>191.0897967948309</v>
      </c>
      <c r="R65" s="81">
        <f t="shared" si="30"/>
        <v>87.984796794830899</v>
      </c>
      <c r="S65" s="81">
        <f t="shared" si="8"/>
        <v>2336.4</v>
      </c>
      <c r="T65" s="81">
        <f t="shared" si="31"/>
        <v>205567.67923144292</v>
      </c>
      <c r="U65" s="96">
        <f t="shared" si="32"/>
        <v>205567.67923144292</v>
      </c>
      <c r="V65" s="96" t="s">
        <v>247</v>
      </c>
      <c r="W65" s="81"/>
      <c r="X65" s="5"/>
    </row>
    <row r="66" spans="2:24" s="2" customFormat="1" ht="29.1" customHeight="1" x14ac:dyDescent="0.25">
      <c r="B66" s="86">
        <v>4</v>
      </c>
      <c r="C66" s="181" t="s">
        <v>331</v>
      </c>
      <c r="D66" s="182"/>
      <c r="E66" s="85"/>
      <c r="F66" s="85"/>
      <c r="G66" s="85">
        <v>1</v>
      </c>
      <c r="H66" s="85">
        <v>1</v>
      </c>
      <c r="I66" s="77">
        <f t="shared" si="3"/>
        <v>39</v>
      </c>
      <c r="J66" s="83">
        <f t="shared" si="4"/>
        <v>12.6</v>
      </c>
      <c r="K66" s="84">
        <f t="shared" si="25"/>
        <v>2.58</v>
      </c>
      <c r="L66" s="84">
        <f t="shared" si="26"/>
        <v>5.16</v>
      </c>
      <c r="M66" s="84">
        <f t="shared" ref="M66:M91" si="33">SUM(E66:H66)*2</f>
        <v>4</v>
      </c>
      <c r="N66" s="81">
        <f t="shared" si="27"/>
        <v>39.86</v>
      </c>
      <c r="O66" s="82">
        <f>Sheet1!I80</f>
        <v>174.28038220364289</v>
      </c>
      <c r="P66" s="70">
        <f t="shared" si="28"/>
        <v>21.095687946186139</v>
      </c>
      <c r="Q66" s="82">
        <f t="shared" si="29"/>
        <v>195.37607014982902</v>
      </c>
      <c r="R66" s="81">
        <f t="shared" si="30"/>
        <v>155.51607014982903</v>
      </c>
      <c r="S66" s="81">
        <f t="shared" si="8"/>
        <v>2336.4</v>
      </c>
      <c r="T66" s="81">
        <f t="shared" si="31"/>
        <v>363347.74629806058</v>
      </c>
      <c r="U66" s="96">
        <f t="shared" si="32"/>
        <v>363347.74629806058</v>
      </c>
      <c r="V66" s="96" t="s">
        <v>248</v>
      </c>
      <c r="W66" s="81"/>
      <c r="X66" s="5"/>
    </row>
    <row r="67" spans="2:24" s="2" customFormat="1" ht="29.1" customHeight="1" x14ac:dyDescent="0.25">
      <c r="B67" s="86">
        <v>5</v>
      </c>
      <c r="C67" s="181" t="s">
        <v>302</v>
      </c>
      <c r="D67" s="182"/>
      <c r="E67" s="85"/>
      <c r="F67" s="85"/>
      <c r="G67" s="85"/>
      <c r="H67" s="85">
        <v>1</v>
      </c>
      <c r="I67" s="77">
        <f t="shared" si="3"/>
        <v>11</v>
      </c>
      <c r="J67" s="83">
        <f t="shared" si="4"/>
        <v>6.3</v>
      </c>
      <c r="K67" s="84">
        <f t="shared" si="25"/>
        <v>0.8650000000000001</v>
      </c>
      <c r="L67" s="84">
        <f t="shared" si="26"/>
        <v>1.7300000000000002</v>
      </c>
      <c r="M67" s="84">
        <f t="shared" si="33"/>
        <v>2</v>
      </c>
      <c r="N67" s="81">
        <f t="shared" si="27"/>
        <v>12.705000000000002</v>
      </c>
      <c r="O67" s="82">
        <f>Sheet1!I81</f>
        <v>157.58286055538966</v>
      </c>
      <c r="P67" s="70">
        <f t="shared" si="28"/>
        <v>10.54784397309307</v>
      </c>
      <c r="Q67" s="82">
        <f t="shared" si="29"/>
        <v>168.13070452848274</v>
      </c>
      <c r="R67" s="81">
        <f t="shared" si="30"/>
        <v>155.42570452848273</v>
      </c>
      <c r="S67" s="81">
        <f t="shared" si="8"/>
        <v>2336.4</v>
      </c>
      <c r="T67" s="81">
        <f t="shared" si="31"/>
        <v>363136.61606034706</v>
      </c>
      <c r="U67" s="96">
        <f t="shared" si="32"/>
        <v>363136.61606034706</v>
      </c>
      <c r="V67" s="96" t="s">
        <v>250</v>
      </c>
      <c r="W67" s="81"/>
      <c r="X67" s="5"/>
    </row>
    <row r="68" spans="2:24" s="2" customFormat="1" ht="29.1" customHeight="1" x14ac:dyDescent="0.25">
      <c r="B68" s="199">
        <v>6</v>
      </c>
      <c r="C68" s="183" t="s">
        <v>193</v>
      </c>
      <c r="D68" s="41" t="s">
        <v>336</v>
      </c>
      <c r="E68" s="85"/>
      <c r="F68" s="85">
        <v>1</v>
      </c>
      <c r="G68" s="85">
        <v>1</v>
      </c>
      <c r="H68" s="85"/>
      <c r="I68" s="77">
        <f t="shared" si="3"/>
        <v>66</v>
      </c>
      <c r="J68" s="83">
        <f t="shared" si="4"/>
        <v>12.6</v>
      </c>
      <c r="K68" s="84">
        <f t="shared" si="25"/>
        <v>3.9299999999999997</v>
      </c>
      <c r="L68" s="84">
        <f t="shared" si="26"/>
        <v>7.8599999999999994</v>
      </c>
      <c r="M68" s="84">
        <f t="shared" si="33"/>
        <v>4</v>
      </c>
      <c r="N68" s="81">
        <f t="shared" si="27"/>
        <v>62.809999999999988</v>
      </c>
      <c r="O68" s="82">
        <f>Sheet1!I82</f>
        <v>96.01074947745596</v>
      </c>
      <c r="P68" s="70">
        <f t="shared" si="28"/>
        <v>21.095687946186139</v>
      </c>
      <c r="Q68" s="82">
        <f t="shared" si="29"/>
        <v>117.10643742364209</v>
      </c>
      <c r="R68" s="81">
        <f t="shared" si="30"/>
        <v>54.296437423642104</v>
      </c>
      <c r="S68" s="81">
        <f t="shared" si="8"/>
        <v>2336.4</v>
      </c>
      <c r="T68" s="81">
        <f t="shared" si="31"/>
        <v>126858.19639659741</v>
      </c>
      <c r="U68" s="120">
        <f t="shared" si="32"/>
        <v>126858.19639659741</v>
      </c>
      <c r="V68" s="132" t="s">
        <v>294</v>
      </c>
      <c r="W68" s="167"/>
      <c r="X68" s="5"/>
    </row>
    <row r="69" spans="2:24" s="2" customFormat="1" ht="28.5" customHeight="1" x14ac:dyDescent="0.25">
      <c r="B69" s="221"/>
      <c r="C69" s="184"/>
      <c r="D69" s="41" t="s">
        <v>113</v>
      </c>
      <c r="E69" s="85"/>
      <c r="F69" s="85">
        <v>1</v>
      </c>
      <c r="G69" s="85"/>
      <c r="H69" s="85"/>
      <c r="I69" s="77">
        <f>E69*115+F69*38+G69*28+H69*11</f>
        <v>38</v>
      </c>
      <c r="J69" s="83">
        <f>SUM(E69:H69)*6.3</f>
        <v>6.3</v>
      </c>
      <c r="K69" s="84">
        <f>(I69+J69)*5%</f>
        <v>2.2149999999999999</v>
      </c>
      <c r="L69" s="84">
        <f>(I69+J69)*10%</f>
        <v>4.43</v>
      </c>
      <c r="M69" s="84">
        <f>SUM(E69:H69)*2</f>
        <v>2</v>
      </c>
      <c r="N69" s="81">
        <f>I69+J69-K69-L69-M69</f>
        <v>35.654999999999994</v>
      </c>
      <c r="O69" s="82">
        <f>Sheet1!I83</f>
        <v>190.97790385189609</v>
      </c>
      <c r="P69" s="70">
        <f t="shared" si="28"/>
        <v>10.54784397309307</v>
      </c>
      <c r="Q69" s="82">
        <f>SUM(O69:P69)</f>
        <v>201.52574782498917</v>
      </c>
      <c r="R69" s="81">
        <f>Q69-N69</f>
        <v>165.87074782498917</v>
      </c>
      <c r="S69" s="81">
        <f t="shared" si="8"/>
        <v>2336.4</v>
      </c>
      <c r="T69" s="81">
        <f>R69*S69</f>
        <v>387540.41521830473</v>
      </c>
      <c r="U69" s="120">
        <f t="shared" ref="U69:U70" si="34">T69</f>
        <v>387540.41521830473</v>
      </c>
      <c r="V69" s="133" t="s">
        <v>296</v>
      </c>
      <c r="W69" s="168"/>
      <c r="X69" s="5"/>
    </row>
    <row r="70" spans="2:24" s="2" customFormat="1" ht="29.1" customHeight="1" x14ac:dyDescent="0.25">
      <c r="B70" s="200"/>
      <c r="C70" s="185"/>
      <c r="D70" s="41" t="s">
        <v>337</v>
      </c>
      <c r="E70" s="85"/>
      <c r="F70" s="85">
        <v>2</v>
      </c>
      <c r="G70" s="85"/>
      <c r="H70" s="85"/>
      <c r="I70" s="77">
        <f>E70*115+F70*38+G70*28+H70*11</f>
        <v>76</v>
      </c>
      <c r="J70" s="83">
        <f>SUM(E70:H70)*6.3</f>
        <v>12.6</v>
      </c>
      <c r="K70" s="84">
        <f>(I70+J70)*5%</f>
        <v>4.43</v>
      </c>
      <c r="L70" s="84">
        <f>(I70+J70)*10%</f>
        <v>8.86</v>
      </c>
      <c r="M70" s="84">
        <f>SUM(E70:H70)*2</f>
        <v>4</v>
      </c>
      <c r="N70" s="81">
        <f>I70+J70-K70-L70-M70</f>
        <v>71.309999999999988</v>
      </c>
      <c r="O70" s="82">
        <f>Sheet1!I84</f>
        <v>90.792773962376828</v>
      </c>
      <c r="P70" s="70">
        <f t="shared" si="28"/>
        <v>21.095687946186139</v>
      </c>
      <c r="Q70" s="82">
        <f>SUM(O70:P70)</f>
        <v>111.88846190856296</v>
      </c>
      <c r="R70" s="81">
        <f>Q70-N70</f>
        <v>40.578461908562971</v>
      </c>
      <c r="S70" s="81">
        <f t="shared" si="8"/>
        <v>2336.4</v>
      </c>
      <c r="T70" s="81">
        <f>R70*S70</f>
        <v>94807.518403166527</v>
      </c>
      <c r="U70" s="120">
        <f t="shared" si="34"/>
        <v>94807.518403166527</v>
      </c>
      <c r="V70" s="132" t="s">
        <v>295</v>
      </c>
      <c r="W70" s="169"/>
      <c r="X70" s="5"/>
    </row>
    <row r="71" spans="2:24" s="2" customFormat="1" ht="29.1" customHeight="1" x14ac:dyDescent="0.25">
      <c r="B71" s="199">
        <v>7</v>
      </c>
      <c r="C71" s="183" t="s">
        <v>194</v>
      </c>
      <c r="D71" s="41" t="s">
        <v>64</v>
      </c>
      <c r="E71" s="85"/>
      <c r="F71" s="85">
        <v>1</v>
      </c>
      <c r="G71" s="85"/>
      <c r="H71" s="85"/>
      <c r="I71" s="77">
        <f t="shared" si="3"/>
        <v>38</v>
      </c>
      <c r="J71" s="83">
        <f t="shared" si="4"/>
        <v>6.3</v>
      </c>
      <c r="K71" s="84">
        <f t="shared" si="25"/>
        <v>2.2149999999999999</v>
      </c>
      <c r="L71" s="84">
        <f t="shared" si="26"/>
        <v>4.43</v>
      </c>
      <c r="M71" s="84">
        <f t="shared" si="33"/>
        <v>2</v>
      </c>
      <c r="N71" s="81">
        <f t="shared" si="27"/>
        <v>35.654999999999994</v>
      </c>
      <c r="O71" s="82">
        <f>Sheet1!I85</f>
        <v>83.487608241266045</v>
      </c>
      <c r="P71" s="70">
        <f t="shared" si="28"/>
        <v>10.54784397309307</v>
      </c>
      <c r="Q71" s="82">
        <f t="shared" si="29"/>
        <v>94.035452214359111</v>
      </c>
      <c r="R71" s="81">
        <f t="shared" si="30"/>
        <v>58.380452214359117</v>
      </c>
      <c r="S71" s="81">
        <f t="shared" si="8"/>
        <v>2336.4</v>
      </c>
      <c r="T71" s="81">
        <f t="shared" si="31"/>
        <v>136400.08855362865</v>
      </c>
      <c r="U71" s="176">
        <f>T71+T72+T73</f>
        <v>1225521.0723461111</v>
      </c>
      <c r="V71" s="173" t="s">
        <v>249</v>
      </c>
      <c r="W71" s="167"/>
      <c r="X71" s="5"/>
    </row>
    <row r="72" spans="2:24" s="2" customFormat="1" ht="29.1" customHeight="1" x14ac:dyDescent="0.25">
      <c r="B72" s="221"/>
      <c r="C72" s="184"/>
      <c r="D72" s="41" t="s">
        <v>114</v>
      </c>
      <c r="E72" s="85"/>
      <c r="F72" s="85"/>
      <c r="G72" s="85">
        <v>2</v>
      </c>
      <c r="H72" s="85"/>
      <c r="I72" s="77">
        <f>E72*115+F72*38+G72*28+H72*11</f>
        <v>56</v>
      </c>
      <c r="J72" s="83">
        <f>SUM(E72:H72)*6.3</f>
        <v>12.6</v>
      </c>
      <c r="K72" s="84">
        <f>(I72+J72)*5%</f>
        <v>3.4299999999999997</v>
      </c>
      <c r="L72" s="84">
        <f>(I72+J72)*10%</f>
        <v>6.8599999999999994</v>
      </c>
      <c r="M72" s="84">
        <f>SUM(E72:H72)*2</f>
        <v>4</v>
      </c>
      <c r="N72" s="81">
        <f>I72+J72-K72-L72-M72</f>
        <v>54.309999999999988</v>
      </c>
      <c r="O72" s="82">
        <f>Sheet1!I86</f>
        <v>89.74917885936101</v>
      </c>
      <c r="P72" s="70">
        <f t="shared" si="28"/>
        <v>21.095687946186139</v>
      </c>
      <c r="Q72" s="82">
        <f>SUM(O72:P72)</f>
        <v>110.84486680554716</v>
      </c>
      <c r="R72" s="81">
        <f>Q72-N72</f>
        <v>56.534866805547168</v>
      </c>
      <c r="S72" s="81">
        <f t="shared" si="8"/>
        <v>2336.4</v>
      </c>
      <c r="T72" s="81">
        <f>R72*S72</f>
        <v>132088.0628044804</v>
      </c>
      <c r="U72" s="177"/>
      <c r="V72" s="174"/>
      <c r="W72" s="168"/>
      <c r="X72" s="5"/>
    </row>
    <row r="73" spans="2:24" s="2" customFormat="1" ht="29.1" customHeight="1" x14ac:dyDescent="0.25">
      <c r="B73" s="200"/>
      <c r="C73" s="185"/>
      <c r="D73" s="41" t="s">
        <v>163</v>
      </c>
      <c r="E73" s="85"/>
      <c r="F73" s="85">
        <v>5</v>
      </c>
      <c r="G73" s="85"/>
      <c r="H73" s="85">
        <v>3</v>
      </c>
      <c r="I73" s="77">
        <f>E73*115+F73*38+G73*28+H73*11</f>
        <v>223</v>
      </c>
      <c r="J73" s="83">
        <f>SUM(E73:H73)*6.3</f>
        <v>50.4</v>
      </c>
      <c r="K73" s="84">
        <f>(I73+J73)*5%</f>
        <v>13.67</v>
      </c>
      <c r="L73" s="84">
        <f>(I73+J73)*10%</f>
        <v>27.34</v>
      </c>
      <c r="M73" s="84">
        <f>SUM(E73:H73)*2</f>
        <v>16</v>
      </c>
      <c r="N73" s="81">
        <f>I73+J73-K73-L73-M73</f>
        <v>216.38999999999996</v>
      </c>
      <c r="O73" s="82">
        <f>Sheet1!I87</f>
        <v>541.62585846521347</v>
      </c>
      <c r="P73" s="70">
        <f t="shared" si="28"/>
        <v>84.382751784744556</v>
      </c>
      <c r="Q73" s="82">
        <f>SUM(O73:P73)</f>
        <v>626.008610249958</v>
      </c>
      <c r="R73" s="81">
        <f>Q73-N73</f>
        <v>409.61861024995801</v>
      </c>
      <c r="S73" s="81">
        <f t="shared" si="8"/>
        <v>2336.4</v>
      </c>
      <c r="T73" s="81">
        <f>R73*S73</f>
        <v>957032.92098800198</v>
      </c>
      <c r="U73" s="178"/>
      <c r="V73" s="175"/>
      <c r="W73" s="169"/>
      <c r="X73" s="5"/>
    </row>
    <row r="74" spans="2:24" s="2" customFormat="1" ht="29.1" customHeight="1" x14ac:dyDescent="0.25">
      <c r="B74" s="199">
        <v>8</v>
      </c>
      <c r="C74" s="183" t="s">
        <v>195</v>
      </c>
      <c r="D74" s="41" t="s">
        <v>115</v>
      </c>
      <c r="E74" s="85"/>
      <c r="F74" s="85">
        <v>1</v>
      </c>
      <c r="G74" s="85"/>
      <c r="H74" s="85"/>
      <c r="I74" s="77">
        <f t="shared" si="3"/>
        <v>38</v>
      </c>
      <c r="J74" s="83">
        <f t="shared" si="4"/>
        <v>6.3</v>
      </c>
      <c r="K74" s="84">
        <f t="shared" si="25"/>
        <v>2.2149999999999999</v>
      </c>
      <c r="L74" s="84">
        <f t="shared" si="26"/>
        <v>4.43</v>
      </c>
      <c r="M74" s="84">
        <f t="shared" si="33"/>
        <v>2</v>
      </c>
      <c r="N74" s="81">
        <f t="shared" si="27"/>
        <v>35.654999999999994</v>
      </c>
      <c r="O74" s="82">
        <f>Sheet1!I88</f>
        <v>162.80083607046879</v>
      </c>
      <c r="P74" s="70">
        <f t="shared" si="28"/>
        <v>10.54784397309307</v>
      </c>
      <c r="Q74" s="82">
        <f t="shared" si="29"/>
        <v>173.34868004356187</v>
      </c>
      <c r="R74" s="81">
        <f t="shared" si="30"/>
        <v>137.69368004356187</v>
      </c>
      <c r="S74" s="81">
        <f t="shared" si="8"/>
        <v>2336.4</v>
      </c>
      <c r="T74" s="81">
        <f t="shared" si="31"/>
        <v>321707.51405377797</v>
      </c>
      <c r="U74" s="120">
        <f>T74</f>
        <v>321707.51405377797</v>
      </c>
      <c r="V74" s="132" t="s">
        <v>250</v>
      </c>
      <c r="W74" s="167"/>
      <c r="X74" s="5"/>
    </row>
    <row r="75" spans="2:24" s="2" customFormat="1" ht="29.1" customHeight="1" x14ac:dyDescent="0.25">
      <c r="B75" s="221"/>
      <c r="C75" s="184"/>
      <c r="D75" s="41" t="s">
        <v>116</v>
      </c>
      <c r="E75" s="85"/>
      <c r="F75" s="85">
        <v>1</v>
      </c>
      <c r="G75" s="85">
        <v>1</v>
      </c>
      <c r="H75" s="85"/>
      <c r="I75" s="77">
        <f>E75*115+F75*38+G75*28+H75*11</f>
        <v>66</v>
      </c>
      <c r="J75" s="83">
        <f>SUM(E75:H75)*6.3</f>
        <v>12.6</v>
      </c>
      <c r="K75" s="84">
        <f>(I75+J75)*5%</f>
        <v>3.9299999999999997</v>
      </c>
      <c r="L75" s="84">
        <f>(I75+J75)*10%</f>
        <v>7.8599999999999994</v>
      </c>
      <c r="M75" s="84">
        <f>SUM(E75:H75)*2</f>
        <v>4</v>
      </c>
      <c r="N75" s="81">
        <f>I75+J75-K75-L75-M75</f>
        <v>62.809999999999988</v>
      </c>
      <c r="O75" s="82">
        <f>Sheet1!I89</f>
        <v>206.63183039713348</v>
      </c>
      <c r="P75" s="70">
        <f t="shared" si="28"/>
        <v>21.095687946186139</v>
      </c>
      <c r="Q75" s="82">
        <f>SUM(O75:P75)</f>
        <v>227.72751834331962</v>
      </c>
      <c r="R75" s="81">
        <f>Q75-N75</f>
        <v>164.91751834331961</v>
      </c>
      <c r="S75" s="81">
        <f t="shared" si="8"/>
        <v>2336.4</v>
      </c>
      <c r="T75" s="81">
        <f>R75*S75</f>
        <v>385313.28985733195</v>
      </c>
      <c r="U75" s="120">
        <f>T75</f>
        <v>385313.28985733195</v>
      </c>
      <c r="V75" s="132" t="s">
        <v>287</v>
      </c>
      <c r="W75" s="168"/>
      <c r="X75" s="5"/>
    </row>
    <row r="76" spans="2:24" s="2" customFormat="1" ht="29.1" customHeight="1" x14ac:dyDescent="0.25">
      <c r="B76" s="200"/>
      <c r="C76" s="185"/>
      <c r="D76" s="41" t="s">
        <v>266</v>
      </c>
      <c r="E76" s="85"/>
      <c r="F76" s="85">
        <v>1</v>
      </c>
      <c r="G76" s="85">
        <v>1</v>
      </c>
      <c r="H76" s="85"/>
      <c r="I76" s="77">
        <f>E76*115+F76*38+G76*28+H76*11</f>
        <v>66</v>
      </c>
      <c r="J76" s="83">
        <f>SUM(E76:H76)*6.3</f>
        <v>12.6</v>
      </c>
      <c r="K76" s="84">
        <f>(I76+J76)*5%</f>
        <v>3.9299999999999997</v>
      </c>
      <c r="L76" s="84">
        <f>(I76+J76)*10%</f>
        <v>7.8599999999999994</v>
      </c>
      <c r="M76" s="84">
        <f>SUM(E76:H76)*2</f>
        <v>4</v>
      </c>
      <c r="N76" s="81">
        <f>I76+J76-K76-L76-M76</f>
        <v>62.809999999999988</v>
      </c>
      <c r="O76" s="82">
        <f>Sheet1!I90</f>
        <v>212.89340101522842</v>
      </c>
      <c r="P76" s="70">
        <f t="shared" si="28"/>
        <v>21.095687946186139</v>
      </c>
      <c r="Q76" s="82">
        <f>SUM(O76:P76)</f>
        <v>233.98908896141455</v>
      </c>
      <c r="R76" s="81">
        <f>Q76-N76</f>
        <v>171.17908896141455</v>
      </c>
      <c r="S76" s="81">
        <f t="shared" si="8"/>
        <v>2336.4</v>
      </c>
      <c r="T76" s="81">
        <f>R76*S76</f>
        <v>399942.82344944897</v>
      </c>
      <c r="U76" s="120">
        <f>T76</f>
        <v>399942.82344944897</v>
      </c>
      <c r="V76" s="132" t="s">
        <v>288</v>
      </c>
      <c r="W76" s="169"/>
      <c r="X76" s="5"/>
    </row>
    <row r="77" spans="2:24" s="2" customFormat="1" ht="29.1" customHeight="1" x14ac:dyDescent="0.25">
      <c r="B77" s="199">
        <v>9</v>
      </c>
      <c r="C77" s="183" t="s">
        <v>196</v>
      </c>
      <c r="D77" s="41" t="s">
        <v>64</v>
      </c>
      <c r="E77" s="85"/>
      <c r="F77" s="85">
        <v>1</v>
      </c>
      <c r="G77" s="85"/>
      <c r="H77" s="85"/>
      <c r="I77" s="77">
        <f t="shared" si="3"/>
        <v>38</v>
      </c>
      <c r="J77" s="83">
        <f t="shared" si="4"/>
        <v>6.3</v>
      </c>
      <c r="K77" s="84">
        <f t="shared" si="25"/>
        <v>2.2149999999999999</v>
      </c>
      <c r="L77" s="84">
        <f t="shared" si="26"/>
        <v>4.43</v>
      </c>
      <c r="M77" s="84">
        <f t="shared" si="33"/>
        <v>2</v>
      </c>
      <c r="N77" s="81">
        <f t="shared" si="27"/>
        <v>35.654999999999994</v>
      </c>
      <c r="O77" s="82">
        <f>Sheet1!I91</f>
        <v>81.400418035234395</v>
      </c>
      <c r="P77" s="70">
        <f t="shared" si="28"/>
        <v>10.54784397309307</v>
      </c>
      <c r="Q77" s="82">
        <f t="shared" si="29"/>
        <v>91.948262008327461</v>
      </c>
      <c r="R77" s="81">
        <f t="shared" si="30"/>
        <v>56.293262008327467</v>
      </c>
      <c r="S77" s="81">
        <f t="shared" si="8"/>
        <v>2336.4</v>
      </c>
      <c r="T77" s="81">
        <f t="shared" si="31"/>
        <v>131523.57735625631</v>
      </c>
      <c r="U77" s="167">
        <f>T77+T78</f>
        <v>360788.50889767305</v>
      </c>
      <c r="V77" s="167" t="s">
        <v>251</v>
      </c>
      <c r="W77" s="167"/>
      <c r="X77" s="5"/>
    </row>
    <row r="78" spans="2:24" s="2" customFormat="1" ht="29.1" customHeight="1" x14ac:dyDescent="0.25">
      <c r="B78" s="200"/>
      <c r="C78" s="185"/>
      <c r="D78" s="41" t="s">
        <v>223</v>
      </c>
      <c r="E78" s="85"/>
      <c r="F78" s="85">
        <v>1</v>
      </c>
      <c r="G78" s="85">
        <v>1</v>
      </c>
      <c r="H78" s="85"/>
      <c r="I78" s="77">
        <f>E78*115+F78*38+G78*28+H78*11</f>
        <v>66</v>
      </c>
      <c r="J78" s="83">
        <f>SUM(E78:H78)*6.3</f>
        <v>12.6</v>
      </c>
      <c r="K78" s="84">
        <f>(I78+J78)*5%</f>
        <v>3.9299999999999997</v>
      </c>
      <c r="L78" s="84">
        <f>(I78+J78)*10%</f>
        <v>7.8599999999999994</v>
      </c>
      <c r="M78" s="84">
        <f>SUM(E78:H78)*2</f>
        <v>4</v>
      </c>
      <c r="N78" s="81">
        <f>I78+J78-K78-L78-M78</f>
        <v>62.809999999999988</v>
      </c>
      <c r="O78" s="82">
        <f>Sheet1!I92</f>
        <v>139.84174380412063</v>
      </c>
      <c r="P78" s="70">
        <f t="shared" si="28"/>
        <v>21.095687946186139</v>
      </c>
      <c r="Q78" s="82">
        <f>SUM(O78:P78)</f>
        <v>160.93743175030676</v>
      </c>
      <c r="R78" s="81">
        <f>Q78-N78</f>
        <v>98.127431750306769</v>
      </c>
      <c r="S78" s="81">
        <f t="shared" si="8"/>
        <v>2336.4</v>
      </c>
      <c r="T78" s="81">
        <f>R78*S78</f>
        <v>229264.93154141674</v>
      </c>
      <c r="U78" s="169"/>
      <c r="V78" s="169"/>
      <c r="W78" s="169"/>
      <c r="X78" s="5"/>
    </row>
    <row r="79" spans="2:24" s="2" customFormat="1" ht="29.1" customHeight="1" x14ac:dyDescent="0.25">
      <c r="B79" s="86">
        <v>10</v>
      </c>
      <c r="C79" s="94" t="s">
        <v>197</v>
      </c>
      <c r="D79" s="94" t="s">
        <v>197</v>
      </c>
      <c r="E79" s="85"/>
      <c r="F79" s="85">
        <v>2</v>
      </c>
      <c r="G79" s="85">
        <v>1</v>
      </c>
      <c r="H79" s="85"/>
      <c r="I79" s="77">
        <f t="shared" si="3"/>
        <v>104</v>
      </c>
      <c r="J79" s="83">
        <f t="shared" si="4"/>
        <v>18.899999999999999</v>
      </c>
      <c r="K79" s="84">
        <f t="shared" si="25"/>
        <v>6.1450000000000005</v>
      </c>
      <c r="L79" s="84">
        <f t="shared" si="26"/>
        <v>12.290000000000001</v>
      </c>
      <c r="M79" s="84">
        <f t="shared" si="33"/>
        <v>6</v>
      </c>
      <c r="N79" s="81">
        <f t="shared" si="27"/>
        <v>98.465000000000003</v>
      </c>
      <c r="O79" s="82">
        <f>Sheet1!I93</f>
        <v>70.964467005076145</v>
      </c>
      <c r="P79" s="70">
        <f t="shared" si="28"/>
        <v>31.643531919279209</v>
      </c>
      <c r="Q79" s="82">
        <f t="shared" si="29"/>
        <v>102.60799892435536</v>
      </c>
      <c r="R79" s="81">
        <f t="shared" si="30"/>
        <v>4.1429989243553536</v>
      </c>
      <c r="S79" s="81">
        <f t="shared" si="8"/>
        <v>2336.4</v>
      </c>
      <c r="T79" s="81">
        <f t="shared" si="31"/>
        <v>9679.7026868638477</v>
      </c>
      <c r="U79" s="96">
        <f>T79</f>
        <v>9679.7026868638477</v>
      </c>
      <c r="V79" s="96" t="s">
        <v>252</v>
      </c>
      <c r="W79" s="81"/>
      <c r="X79" s="5"/>
    </row>
    <row r="80" spans="2:24" s="2" customFormat="1" ht="29.1" customHeight="1" x14ac:dyDescent="0.25">
      <c r="B80" s="199">
        <v>11</v>
      </c>
      <c r="C80" s="183" t="s">
        <v>198</v>
      </c>
      <c r="D80" s="41" t="s">
        <v>102</v>
      </c>
      <c r="E80" s="85"/>
      <c r="F80" s="85">
        <v>1</v>
      </c>
      <c r="G80" s="85"/>
      <c r="H80" s="85"/>
      <c r="I80" s="77">
        <f t="shared" si="3"/>
        <v>38</v>
      </c>
      <c r="J80" s="83">
        <f t="shared" si="4"/>
        <v>6.3</v>
      </c>
      <c r="K80" s="84">
        <f t="shared" si="25"/>
        <v>2.2149999999999999</v>
      </c>
      <c r="L80" s="84">
        <f t="shared" si="26"/>
        <v>4.43</v>
      </c>
      <c r="M80" s="84">
        <f t="shared" si="33"/>
        <v>2</v>
      </c>
      <c r="N80" s="81">
        <f t="shared" si="27"/>
        <v>35.654999999999994</v>
      </c>
      <c r="O80" s="82">
        <f>Sheet1!I94</f>
        <v>77.226037623171095</v>
      </c>
      <c r="P80" s="70">
        <f t="shared" si="28"/>
        <v>10.54784397309307</v>
      </c>
      <c r="Q80" s="82">
        <f t="shared" si="29"/>
        <v>87.773881596264161</v>
      </c>
      <c r="R80" s="81">
        <f t="shared" si="30"/>
        <v>52.118881596264167</v>
      </c>
      <c r="S80" s="81">
        <f t="shared" si="8"/>
        <v>2336.4</v>
      </c>
      <c r="T80" s="81">
        <f t="shared" si="31"/>
        <v>121770.5549615116</v>
      </c>
      <c r="U80" s="167">
        <f>T80+T81</f>
        <v>355537.39931869425</v>
      </c>
      <c r="V80" s="167" t="s">
        <v>253</v>
      </c>
      <c r="W80" s="167"/>
      <c r="X80" s="5"/>
    </row>
    <row r="81" spans="2:24" s="2" customFormat="1" ht="29.1" customHeight="1" x14ac:dyDescent="0.25">
      <c r="B81" s="200"/>
      <c r="C81" s="185"/>
      <c r="D81" s="41" t="s">
        <v>282</v>
      </c>
      <c r="E81" s="85"/>
      <c r="F81" s="85">
        <v>1</v>
      </c>
      <c r="G81" s="85"/>
      <c r="H81" s="85">
        <v>1</v>
      </c>
      <c r="I81" s="77">
        <f>E81*115+F81*38+G81*28+H81*11</f>
        <v>49</v>
      </c>
      <c r="J81" s="83">
        <f>SUM(E81:H81)*6.3</f>
        <v>12.6</v>
      </c>
      <c r="K81" s="84">
        <f>(I81+J81)*5%</f>
        <v>3.08</v>
      </c>
      <c r="L81" s="84">
        <f>(I81+J81)*10%</f>
        <v>6.16</v>
      </c>
      <c r="M81" s="84">
        <f>SUM(E81:H81)*2</f>
        <v>4</v>
      </c>
      <c r="N81" s="81">
        <f>I81+J81-K81-L81-M81</f>
        <v>48.36</v>
      </c>
      <c r="O81" s="82">
        <f>Sheet1!I95</f>
        <v>127.31860256793072</v>
      </c>
      <c r="P81" s="70">
        <f t="shared" si="28"/>
        <v>21.095687946186139</v>
      </c>
      <c r="Q81" s="82">
        <f>SUM(O81:P81)</f>
        <v>148.41429051411686</v>
      </c>
      <c r="R81" s="81">
        <f>Q81-N81</f>
        <v>100.05429051411686</v>
      </c>
      <c r="S81" s="81">
        <f t="shared" si="8"/>
        <v>2336.4</v>
      </c>
      <c r="T81" s="81">
        <f>R81*S81</f>
        <v>233766.84435718262</v>
      </c>
      <c r="U81" s="169"/>
      <c r="V81" s="169"/>
      <c r="W81" s="169"/>
      <c r="X81" s="5"/>
    </row>
    <row r="82" spans="2:24" s="2" customFormat="1" ht="29.1" customHeight="1" x14ac:dyDescent="0.25">
      <c r="B82" s="199">
        <v>12</v>
      </c>
      <c r="C82" s="186" t="s">
        <v>199</v>
      </c>
      <c r="D82" s="41" t="s">
        <v>64</v>
      </c>
      <c r="E82" s="85"/>
      <c r="F82" s="85">
        <v>1</v>
      </c>
      <c r="G82" s="85"/>
      <c r="H82" s="85"/>
      <c r="I82" s="77">
        <f t="shared" si="3"/>
        <v>38</v>
      </c>
      <c r="J82" s="83">
        <f t="shared" si="4"/>
        <v>6.3</v>
      </c>
      <c r="K82" s="84">
        <f t="shared" si="25"/>
        <v>2.2149999999999999</v>
      </c>
      <c r="L82" s="84">
        <f t="shared" si="26"/>
        <v>4.43</v>
      </c>
      <c r="M82" s="84">
        <f t="shared" si="33"/>
        <v>2</v>
      </c>
      <c r="N82" s="81">
        <f t="shared" si="27"/>
        <v>35.654999999999994</v>
      </c>
      <c r="O82" s="82">
        <f>Sheet1!I96</f>
        <v>129.40579277396239</v>
      </c>
      <c r="P82" s="70">
        <f t="shared" si="28"/>
        <v>10.54784397309307</v>
      </c>
      <c r="Q82" s="82">
        <f t="shared" si="29"/>
        <v>139.95363674705547</v>
      </c>
      <c r="R82" s="81">
        <f t="shared" si="30"/>
        <v>104.29863674705547</v>
      </c>
      <c r="S82" s="81">
        <f t="shared" si="8"/>
        <v>2336.4</v>
      </c>
      <c r="T82" s="81">
        <f t="shared" si="31"/>
        <v>243683.33489582042</v>
      </c>
      <c r="U82" s="167">
        <f>T82+T83</f>
        <v>433936.17685825838</v>
      </c>
      <c r="V82" s="167" t="s">
        <v>254</v>
      </c>
      <c r="W82" s="167"/>
      <c r="X82" s="5"/>
    </row>
    <row r="83" spans="2:24" s="2" customFormat="1" ht="29.1" customHeight="1" x14ac:dyDescent="0.25">
      <c r="B83" s="221"/>
      <c r="C83" s="187"/>
      <c r="D83" s="41" t="s">
        <v>114</v>
      </c>
      <c r="E83" s="85"/>
      <c r="F83" s="85">
        <v>1</v>
      </c>
      <c r="G83" s="85">
        <v>1</v>
      </c>
      <c r="H83" s="85"/>
      <c r="I83" s="77">
        <f>E83*115+F83*38+G83*28+H83*11</f>
        <v>66</v>
      </c>
      <c r="J83" s="83">
        <f>SUM(E83:H83)*6.3</f>
        <v>12.6</v>
      </c>
      <c r="K83" s="84">
        <f>(I83+J83)*5%</f>
        <v>3.9299999999999997</v>
      </c>
      <c r="L83" s="84">
        <f>(I83+J83)*10%</f>
        <v>7.8599999999999994</v>
      </c>
      <c r="M83" s="84">
        <f>SUM(E83:H83)*2</f>
        <v>4</v>
      </c>
      <c r="N83" s="81">
        <f>I83+J83-K83-L83-M83</f>
        <v>62.809999999999988</v>
      </c>
      <c r="O83" s="82">
        <f>Sheet1!I97</f>
        <v>123.14422215586742</v>
      </c>
      <c r="P83" s="70">
        <f t="shared" si="28"/>
        <v>21.095687946186139</v>
      </c>
      <c r="Q83" s="82">
        <f>SUM(O83:P83)</f>
        <v>144.23991010205356</v>
      </c>
      <c r="R83" s="81">
        <f>Q83-N83</f>
        <v>81.429910102053569</v>
      </c>
      <c r="S83" s="81">
        <f t="shared" si="8"/>
        <v>2336.4</v>
      </c>
      <c r="T83" s="81">
        <f>R83*S83</f>
        <v>190252.84196243796</v>
      </c>
      <c r="U83" s="168"/>
      <c r="V83" s="168"/>
      <c r="W83" s="168"/>
      <c r="X83" s="5"/>
    </row>
    <row r="84" spans="2:24" s="2" customFormat="1" ht="29.1" customHeight="1" x14ac:dyDescent="0.25">
      <c r="B84" s="200"/>
      <c r="C84" s="181" t="s">
        <v>344</v>
      </c>
      <c r="D84" s="182"/>
      <c r="E84" s="85"/>
      <c r="F84" s="85">
        <v>1</v>
      </c>
      <c r="G84" s="85"/>
      <c r="H84" s="85"/>
      <c r="I84" s="77">
        <f>E84*115+F84*38+G84*28+H84*11</f>
        <v>38</v>
      </c>
      <c r="J84" s="83">
        <f>SUM(E84:H84)*6.3</f>
        <v>6.3</v>
      </c>
      <c r="K84" s="84">
        <f>(I84+J84)*5%</f>
        <v>2.2149999999999999</v>
      </c>
      <c r="L84" s="84">
        <f>(I84+J84)*10%</f>
        <v>4.43</v>
      </c>
      <c r="M84" s="84">
        <f>SUM(E84:H84)*2</f>
        <v>2</v>
      </c>
      <c r="N84" s="81">
        <f>I84+J84-K84-L84-M84</f>
        <v>35.654999999999994</v>
      </c>
      <c r="O84" s="82">
        <f>Sheet1!I98</f>
        <v>94.967154374440128</v>
      </c>
      <c r="P84" s="70">
        <f t="shared" si="28"/>
        <v>10.54784397309307</v>
      </c>
      <c r="Q84" s="82">
        <f>SUM(O84:P84)</f>
        <v>105.51499834753319</v>
      </c>
      <c r="R84" s="81">
        <f>Q84-N84</f>
        <v>69.859998347533207</v>
      </c>
      <c r="S84" s="81">
        <f t="shared" si="8"/>
        <v>2336.4</v>
      </c>
      <c r="T84" s="81">
        <f>R84*S84</f>
        <v>163220.90013917658</v>
      </c>
      <c r="U84" s="81">
        <f>T84</f>
        <v>163220.90013917658</v>
      </c>
      <c r="V84" s="96" t="s">
        <v>335</v>
      </c>
      <c r="W84" s="169"/>
      <c r="X84" s="5"/>
    </row>
    <row r="85" spans="2:24" s="2" customFormat="1" ht="22.9" customHeight="1" x14ac:dyDescent="0.25">
      <c r="B85" s="91" t="s">
        <v>218</v>
      </c>
      <c r="C85" s="188" t="s">
        <v>222</v>
      </c>
      <c r="D85" s="189"/>
      <c r="E85" s="85"/>
      <c r="F85" s="85"/>
      <c r="G85" s="85"/>
      <c r="H85" s="85"/>
      <c r="I85" s="77"/>
      <c r="J85" s="83"/>
      <c r="K85" s="84"/>
      <c r="L85" s="84"/>
      <c r="M85" s="84"/>
      <c r="N85" s="81"/>
      <c r="O85" s="82"/>
      <c r="P85" s="70"/>
      <c r="Q85" s="82"/>
      <c r="R85" s="81"/>
      <c r="S85" s="81"/>
      <c r="T85" s="81"/>
      <c r="U85" s="96"/>
      <c r="V85" s="96"/>
      <c r="W85" s="81"/>
      <c r="X85" s="5"/>
    </row>
    <row r="86" spans="2:24" s="2" customFormat="1" ht="22.9" customHeight="1" x14ac:dyDescent="0.25">
      <c r="B86" s="86">
        <v>1</v>
      </c>
      <c r="C86" s="197" t="s">
        <v>166</v>
      </c>
      <c r="D86" s="198"/>
      <c r="E86" s="85"/>
      <c r="F86" s="85"/>
      <c r="G86" s="85"/>
      <c r="H86" s="85"/>
      <c r="I86" s="77">
        <f t="shared" si="3"/>
        <v>0</v>
      </c>
      <c r="J86" s="83">
        <f t="shared" si="4"/>
        <v>0</v>
      </c>
      <c r="K86" s="84">
        <f t="shared" ref="K86:K91" si="35">(I86+J86)*5%</f>
        <v>0</v>
      </c>
      <c r="L86" s="84">
        <f t="shared" ref="L86:L91" si="36">(I86+J86)*10%</f>
        <v>0</v>
      </c>
      <c r="M86" s="84">
        <f t="shared" si="33"/>
        <v>0</v>
      </c>
      <c r="N86" s="81">
        <f t="shared" ref="N86:N91" si="37">I86+J86-K86-L86-M86</f>
        <v>0</v>
      </c>
      <c r="O86" s="82">
        <f>Sheet1!I134</f>
        <v>48.00537473872798</v>
      </c>
      <c r="P86" s="70"/>
      <c r="Q86" s="82">
        <f t="shared" ref="Q86:Q91" si="38">SUM(O86:P86)</f>
        <v>48.00537473872798</v>
      </c>
      <c r="R86" s="81">
        <f t="shared" ref="R86:R89" si="39">Q86-N86</f>
        <v>48.00537473872798</v>
      </c>
      <c r="S86" s="81">
        <f t="shared" si="8"/>
        <v>2336.4</v>
      </c>
      <c r="T86" s="81">
        <f t="shared" ref="T86:T91" si="40">R86*S86</f>
        <v>112159.75753956406</v>
      </c>
      <c r="U86" s="96">
        <f>T86</f>
        <v>112159.75753956406</v>
      </c>
      <c r="V86" s="96" t="s">
        <v>255</v>
      </c>
      <c r="W86" s="81"/>
      <c r="X86" s="5"/>
    </row>
    <row r="87" spans="2:24" s="2" customFormat="1" ht="22.9" customHeight="1" x14ac:dyDescent="0.25">
      <c r="B87" s="86">
        <v>2</v>
      </c>
      <c r="C87" s="195" t="s">
        <v>155</v>
      </c>
      <c r="D87" s="196"/>
      <c r="E87" s="85"/>
      <c r="F87" s="85"/>
      <c r="G87" s="85"/>
      <c r="H87" s="85"/>
      <c r="I87" s="77">
        <f t="shared" si="3"/>
        <v>0</v>
      </c>
      <c r="J87" s="83">
        <f t="shared" si="4"/>
        <v>0</v>
      </c>
      <c r="K87" s="84">
        <f t="shared" si="35"/>
        <v>0</v>
      </c>
      <c r="L87" s="84">
        <f t="shared" si="36"/>
        <v>0</v>
      </c>
      <c r="M87" s="84">
        <f t="shared" si="33"/>
        <v>0</v>
      </c>
      <c r="N87" s="81">
        <f t="shared" si="37"/>
        <v>0</v>
      </c>
      <c r="O87" s="82">
        <f>Sheet1!I135</f>
        <v>343.34278889220661</v>
      </c>
      <c r="P87" s="70"/>
      <c r="Q87" s="82">
        <f t="shared" si="38"/>
        <v>343.34278889220661</v>
      </c>
      <c r="R87" s="81">
        <f t="shared" si="39"/>
        <v>343.34278889220661</v>
      </c>
      <c r="S87" s="81">
        <f t="shared" si="8"/>
        <v>2336.4</v>
      </c>
      <c r="T87" s="81">
        <f t="shared" si="40"/>
        <v>802186.0919677515</v>
      </c>
      <c r="U87" s="96">
        <f t="shared" ref="U87:U91" si="41">T87</f>
        <v>802186.0919677515</v>
      </c>
      <c r="V87" s="96" t="s">
        <v>269</v>
      </c>
      <c r="W87" s="81"/>
      <c r="X87" s="5"/>
    </row>
    <row r="88" spans="2:24" s="2" customFormat="1" ht="22.9" customHeight="1" x14ac:dyDescent="0.25">
      <c r="B88" s="86">
        <v>3</v>
      </c>
      <c r="C88" s="195" t="s">
        <v>165</v>
      </c>
      <c r="D88" s="196"/>
      <c r="E88" s="85"/>
      <c r="F88" s="85"/>
      <c r="G88" s="85"/>
      <c r="H88" s="85"/>
      <c r="I88" s="77">
        <f t="shared" si="3"/>
        <v>0</v>
      </c>
      <c r="J88" s="83">
        <f t="shared" si="4"/>
        <v>0</v>
      </c>
      <c r="K88" s="84">
        <f t="shared" si="35"/>
        <v>0</v>
      </c>
      <c r="L88" s="84">
        <f t="shared" si="36"/>
        <v>0</v>
      </c>
      <c r="M88" s="84">
        <f t="shared" si="33"/>
        <v>0</v>
      </c>
      <c r="N88" s="81">
        <f t="shared" si="37"/>
        <v>0</v>
      </c>
      <c r="O88" s="82">
        <f>Sheet1!I138</f>
        <v>374.65064198268141</v>
      </c>
      <c r="P88" s="70"/>
      <c r="Q88" s="82">
        <f t="shared" si="38"/>
        <v>374.65064198268141</v>
      </c>
      <c r="R88" s="81">
        <f t="shared" si="39"/>
        <v>374.65064198268141</v>
      </c>
      <c r="S88" s="81">
        <f t="shared" si="8"/>
        <v>2336.4</v>
      </c>
      <c r="T88" s="81">
        <f t="shared" si="40"/>
        <v>875333.75992833683</v>
      </c>
      <c r="U88" s="96">
        <f t="shared" si="41"/>
        <v>875333.75992833683</v>
      </c>
      <c r="V88" s="96" t="s">
        <v>256</v>
      </c>
      <c r="W88" s="81"/>
      <c r="X88" s="5"/>
    </row>
    <row r="89" spans="2:24" s="2" customFormat="1" ht="22.9" customHeight="1" x14ac:dyDescent="0.25">
      <c r="B89" s="86">
        <v>4</v>
      </c>
      <c r="C89" s="195" t="s">
        <v>152</v>
      </c>
      <c r="D89" s="196"/>
      <c r="E89" s="85"/>
      <c r="F89" s="85"/>
      <c r="G89" s="85"/>
      <c r="H89" s="85"/>
      <c r="I89" s="77">
        <f t="shared" si="3"/>
        <v>0</v>
      </c>
      <c r="J89" s="83">
        <f t="shared" si="4"/>
        <v>0</v>
      </c>
      <c r="K89" s="84">
        <f t="shared" si="35"/>
        <v>0</v>
      </c>
      <c r="L89" s="84">
        <f t="shared" si="36"/>
        <v>0</v>
      </c>
      <c r="M89" s="84">
        <f t="shared" si="33"/>
        <v>0</v>
      </c>
      <c r="N89" s="81">
        <f t="shared" si="37"/>
        <v>0</v>
      </c>
      <c r="O89" s="82">
        <f>Sheet1!I142</f>
        <v>486.31531800537476</v>
      </c>
      <c r="P89" s="70"/>
      <c r="Q89" s="82">
        <f t="shared" si="38"/>
        <v>486.31531800537476</v>
      </c>
      <c r="R89" s="81">
        <f t="shared" si="39"/>
        <v>486.31531800537476</v>
      </c>
      <c r="S89" s="81">
        <f t="shared" si="8"/>
        <v>2336.4</v>
      </c>
      <c r="T89" s="81">
        <f t="shared" si="40"/>
        <v>1136227.1089877577</v>
      </c>
      <c r="U89" s="96">
        <f>T89</f>
        <v>1136227.1089877577</v>
      </c>
      <c r="V89" s="96" t="s">
        <v>270</v>
      </c>
      <c r="W89" s="81"/>
      <c r="X89" s="5"/>
    </row>
    <row r="90" spans="2:24" s="2" customFormat="1" ht="22.9" customHeight="1" x14ac:dyDescent="0.25">
      <c r="B90" s="86">
        <v>5</v>
      </c>
      <c r="C90" s="197" t="s">
        <v>168</v>
      </c>
      <c r="D90" s="198"/>
      <c r="E90" s="85"/>
      <c r="F90" s="85"/>
      <c r="G90" s="85"/>
      <c r="H90" s="85"/>
      <c r="I90" s="77">
        <f t="shared" si="3"/>
        <v>0</v>
      </c>
      <c r="J90" s="83">
        <f t="shared" si="4"/>
        <v>0</v>
      </c>
      <c r="K90" s="84">
        <f t="shared" si="35"/>
        <v>0</v>
      </c>
      <c r="L90" s="84">
        <f t="shared" si="36"/>
        <v>0</v>
      </c>
      <c r="M90" s="84">
        <f t="shared" si="33"/>
        <v>0</v>
      </c>
      <c r="N90" s="81">
        <f t="shared" si="37"/>
        <v>0</v>
      </c>
      <c r="O90" s="82">
        <f>Sheet1!I149</f>
        <v>6.2615706180949537</v>
      </c>
      <c r="P90" s="70"/>
      <c r="Q90" s="82">
        <f t="shared" si="38"/>
        <v>6.2615706180949537</v>
      </c>
      <c r="R90" s="81">
        <f>Q90-N90</f>
        <v>6.2615706180949537</v>
      </c>
      <c r="S90" s="81">
        <f t="shared" si="8"/>
        <v>2336.4</v>
      </c>
      <c r="T90" s="81">
        <f t="shared" si="40"/>
        <v>14629.53359211705</v>
      </c>
      <c r="U90" s="96">
        <f>T90</f>
        <v>14629.53359211705</v>
      </c>
      <c r="V90" s="96" t="s">
        <v>257</v>
      </c>
      <c r="W90" s="81"/>
      <c r="X90" s="5"/>
    </row>
    <row r="91" spans="2:24" s="2" customFormat="1" ht="30" customHeight="1" x14ac:dyDescent="0.25">
      <c r="B91" s="86">
        <v>6</v>
      </c>
      <c r="C91" s="179" t="s">
        <v>158</v>
      </c>
      <c r="D91" s="180"/>
      <c r="E91" s="85"/>
      <c r="F91" s="85"/>
      <c r="G91" s="85"/>
      <c r="H91" s="85"/>
      <c r="I91" s="77">
        <f t="shared" si="3"/>
        <v>0</v>
      </c>
      <c r="J91" s="83">
        <f t="shared" si="4"/>
        <v>0</v>
      </c>
      <c r="K91" s="84">
        <f t="shared" si="35"/>
        <v>0</v>
      </c>
      <c r="L91" s="84">
        <f t="shared" si="36"/>
        <v>0</v>
      </c>
      <c r="M91" s="84">
        <f t="shared" si="33"/>
        <v>0</v>
      </c>
      <c r="N91" s="81">
        <f t="shared" si="37"/>
        <v>0</v>
      </c>
      <c r="O91" s="82">
        <f>Sheet1!I152</f>
        <v>0</v>
      </c>
      <c r="P91" s="70"/>
      <c r="Q91" s="82">
        <f t="shared" si="38"/>
        <v>0</v>
      </c>
      <c r="R91" s="81">
        <f>Q91-N91</f>
        <v>0</v>
      </c>
      <c r="S91" s="81">
        <f t="shared" si="8"/>
        <v>2336.4</v>
      </c>
      <c r="T91" s="81">
        <f t="shared" si="40"/>
        <v>0</v>
      </c>
      <c r="U91" s="96">
        <f t="shared" si="41"/>
        <v>0</v>
      </c>
      <c r="V91" s="96" t="s">
        <v>255</v>
      </c>
      <c r="W91" s="81"/>
      <c r="X91" s="5"/>
    </row>
    <row r="92" spans="2:24" s="4" customFormat="1" ht="22.9" customHeight="1" x14ac:dyDescent="0.25">
      <c r="B92" s="91"/>
      <c r="C92" s="190" t="s">
        <v>202</v>
      </c>
      <c r="D92" s="191"/>
      <c r="E92" s="87">
        <f>SUM(E9:E91)</f>
        <v>16</v>
      </c>
      <c r="F92" s="87">
        <f>SUM(F9:F91)</f>
        <v>106</v>
      </c>
      <c r="G92" s="87">
        <f>SUM(G9:G91)</f>
        <v>35</v>
      </c>
      <c r="H92" s="87">
        <f>SUM(H9:H91)</f>
        <v>35</v>
      </c>
      <c r="I92" s="88"/>
      <c r="J92" s="74"/>
      <c r="K92" s="74"/>
      <c r="L92" s="88"/>
      <c r="M92" s="88"/>
      <c r="N92" s="74"/>
      <c r="O92" s="74"/>
      <c r="P92" s="74">
        <f>SUM(E92:H92)</f>
        <v>192</v>
      </c>
      <c r="Q92" s="74"/>
      <c r="R92" s="88"/>
      <c r="S92" s="88"/>
      <c r="T92" s="88">
        <f>SUM(T10:T91)</f>
        <v>25406049.700604811</v>
      </c>
      <c r="U92" s="97">
        <f>SUM(U10:U91)</f>
        <v>25298973.180003975</v>
      </c>
      <c r="V92" s="97"/>
      <c r="W92" s="88"/>
    </row>
    <row r="94" spans="2:24" x14ac:dyDescent="0.3">
      <c r="T94" s="163" t="s">
        <v>283</v>
      </c>
      <c r="U94" s="164"/>
      <c r="V94" s="164"/>
    </row>
    <row r="95" spans="2:24" x14ac:dyDescent="0.3">
      <c r="D95" s="163" t="s">
        <v>210</v>
      </c>
      <c r="E95" s="163"/>
      <c r="F95" s="163"/>
      <c r="G95" s="3"/>
      <c r="H95" s="3"/>
      <c r="I95" s="3"/>
      <c r="J95" s="163" t="s">
        <v>211</v>
      </c>
      <c r="K95" s="163"/>
      <c r="L95" s="163"/>
      <c r="M95" s="163"/>
      <c r="N95" s="163"/>
      <c r="O95" s="163"/>
      <c r="P95" s="3"/>
      <c r="Q95" s="3"/>
      <c r="R95" s="163" t="s">
        <v>213</v>
      </c>
      <c r="S95" s="163"/>
      <c r="T95" s="163"/>
      <c r="U95" s="163"/>
      <c r="V95" s="163"/>
      <c r="W95" s="163"/>
    </row>
    <row r="96" spans="2:24" x14ac:dyDescent="0.3">
      <c r="D96" s="9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98"/>
      <c r="V96" s="130"/>
      <c r="W96" s="3"/>
    </row>
    <row r="97" spans="4:23" x14ac:dyDescent="0.3">
      <c r="D97" s="9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98"/>
      <c r="V97" s="134"/>
      <c r="W97" s="3"/>
    </row>
    <row r="98" spans="4:23" x14ac:dyDescent="0.3">
      <c r="D98" s="9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 t="s">
        <v>258</v>
      </c>
      <c r="U98" s="98"/>
      <c r="V98" s="130"/>
      <c r="W98" s="3"/>
    </row>
    <row r="99" spans="4:23" x14ac:dyDescent="0.3">
      <c r="D99" s="9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98"/>
      <c r="V99" s="130"/>
      <c r="W99" s="3"/>
    </row>
    <row r="100" spans="4:23" x14ac:dyDescent="0.3">
      <c r="D100" s="9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98"/>
      <c r="V100" s="130"/>
      <c r="W100" s="3"/>
    </row>
    <row r="101" spans="4:23" x14ac:dyDescent="0.3">
      <c r="D101" s="163" t="s">
        <v>342</v>
      </c>
      <c r="E101" s="163"/>
      <c r="F101" s="163"/>
      <c r="G101" s="3"/>
      <c r="H101" s="3"/>
      <c r="I101" s="3"/>
      <c r="J101" s="163" t="s">
        <v>212</v>
      </c>
      <c r="K101" s="163"/>
      <c r="L101" s="163"/>
      <c r="M101" s="163"/>
      <c r="N101" s="163"/>
      <c r="O101" s="163"/>
      <c r="P101" s="3"/>
      <c r="Q101" s="3"/>
      <c r="R101" s="163" t="s">
        <v>214</v>
      </c>
      <c r="S101" s="163"/>
      <c r="T101" s="163"/>
      <c r="U101" s="163"/>
      <c r="V101" s="163"/>
      <c r="W101" s="163"/>
    </row>
  </sheetData>
  <mergeCells count="147">
    <mergeCell ref="B13:B15"/>
    <mergeCell ref="B16:B20"/>
    <mergeCell ref="B21:B22"/>
    <mergeCell ref="B23:B24"/>
    <mergeCell ref="B25:B26"/>
    <mergeCell ref="B27:B28"/>
    <mergeCell ref="B50:B51"/>
    <mergeCell ref="B52:B53"/>
    <mergeCell ref="B29:B31"/>
    <mergeCell ref="B32:B35"/>
    <mergeCell ref="B36:B37"/>
    <mergeCell ref="V29:V30"/>
    <mergeCell ref="D95:F95"/>
    <mergeCell ref="D101:F101"/>
    <mergeCell ref="J95:O95"/>
    <mergeCell ref="J101:O101"/>
    <mergeCell ref="R101:W101"/>
    <mergeCell ref="R95:W95"/>
    <mergeCell ref="A1:W1"/>
    <mergeCell ref="A2:W2"/>
    <mergeCell ref="B6:B7"/>
    <mergeCell ref="N6:N7"/>
    <mergeCell ref="R6:R7"/>
    <mergeCell ref="W6:W7"/>
    <mergeCell ref="O6:Q6"/>
    <mergeCell ref="T6:T7"/>
    <mergeCell ref="E6:I6"/>
    <mergeCell ref="J6:J7"/>
    <mergeCell ref="S6:S7"/>
    <mergeCell ref="V6:V7"/>
    <mergeCell ref="K6:M6"/>
    <mergeCell ref="C41:D41"/>
    <mergeCell ref="C42:D42"/>
    <mergeCell ref="C43:D43"/>
    <mergeCell ref="B82:B84"/>
    <mergeCell ref="B54:B56"/>
    <mergeCell ref="B57:B59"/>
    <mergeCell ref="B68:B70"/>
    <mergeCell ref="C68:C70"/>
    <mergeCell ref="C65:D65"/>
    <mergeCell ref="C66:D66"/>
    <mergeCell ref="C67:D67"/>
    <mergeCell ref="B77:B78"/>
    <mergeCell ref="U29:U30"/>
    <mergeCell ref="C77:C78"/>
    <mergeCell ref="B71:B73"/>
    <mergeCell ref="C32:C35"/>
    <mergeCell ref="C36:C37"/>
    <mergeCell ref="C45:D45"/>
    <mergeCell ref="C46:D46"/>
    <mergeCell ref="C47:D47"/>
    <mergeCell ref="C48:D48"/>
    <mergeCell ref="C49:D49"/>
    <mergeCell ref="B74:B76"/>
    <mergeCell ref="U52:U53"/>
    <mergeCell ref="C52:C53"/>
    <mergeCell ref="B80:B81"/>
    <mergeCell ref="V21:V22"/>
    <mergeCell ref="C6:D7"/>
    <mergeCell ref="C44:D44"/>
    <mergeCell ref="C10:D10"/>
    <mergeCell ref="C11:D11"/>
    <mergeCell ref="C12:D12"/>
    <mergeCell ref="V23:V24"/>
    <mergeCell ref="V25:V26"/>
    <mergeCell ref="V27:V28"/>
    <mergeCell ref="V32:V35"/>
    <mergeCell ref="V36:V37"/>
    <mergeCell ref="C9:D9"/>
    <mergeCell ref="U6:U7"/>
    <mergeCell ref="V13:V15"/>
    <mergeCell ref="U13:U15"/>
    <mergeCell ref="V16:V20"/>
    <mergeCell ref="C13:C15"/>
    <mergeCell ref="C16:C20"/>
    <mergeCell ref="C21:C22"/>
    <mergeCell ref="C23:C24"/>
    <mergeCell ref="C25:C26"/>
    <mergeCell ref="V50:V51"/>
    <mergeCell ref="V52:V53"/>
    <mergeCell ref="C92:D92"/>
    <mergeCell ref="U16:U20"/>
    <mergeCell ref="U21:U22"/>
    <mergeCell ref="U23:U24"/>
    <mergeCell ref="U25:U26"/>
    <mergeCell ref="U32:U35"/>
    <mergeCell ref="U27:U28"/>
    <mergeCell ref="U36:U37"/>
    <mergeCell ref="C89:D89"/>
    <mergeCell ref="C90:D90"/>
    <mergeCell ref="C86:D86"/>
    <mergeCell ref="C87:D87"/>
    <mergeCell ref="C88:D88"/>
    <mergeCell ref="C27:C28"/>
    <mergeCell ref="C29:C31"/>
    <mergeCell ref="C85:D85"/>
    <mergeCell ref="C38:D38"/>
    <mergeCell ref="C39:D39"/>
    <mergeCell ref="U50:U51"/>
    <mergeCell ref="C50:C51"/>
    <mergeCell ref="C40:D40"/>
    <mergeCell ref="V57:V59"/>
    <mergeCell ref="U57:U59"/>
    <mergeCell ref="V71:V73"/>
    <mergeCell ref="U71:U73"/>
    <mergeCell ref="C54:C56"/>
    <mergeCell ref="C57:C59"/>
    <mergeCell ref="C62:D62"/>
    <mergeCell ref="C71:C73"/>
    <mergeCell ref="C80:C81"/>
    <mergeCell ref="C91:D91"/>
    <mergeCell ref="C60:D60"/>
    <mergeCell ref="C61:D61"/>
    <mergeCell ref="C63:D63"/>
    <mergeCell ref="C64:D64"/>
    <mergeCell ref="C74:C76"/>
    <mergeCell ref="V77:V78"/>
    <mergeCell ref="U77:U78"/>
    <mergeCell ref="V80:V81"/>
    <mergeCell ref="U82:U83"/>
    <mergeCell ref="V82:V83"/>
    <mergeCell ref="C82:C83"/>
    <mergeCell ref="C84:D84"/>
    <mergeCell ref="T94:V94"/>
    <mergeCell ref="C8:D8"/>
    <mergeCell ref="W82:W84"/>
    <mergeCell ref="W80:W81"/>
    <mergeCell ref="W77:W78"/>
    <mergeCell ref="W74:W76"/>
    <mergeCell ref="W71:W73"/>
    <mergeCell ref="W68:W70"/>
    <mergeCell ref="W54:W56"/>
    <mergeCell ref="W57:W59"/>
    <mergeCell ref="W52:W53"/>
    <mergeCell ref="W50:W51"/>
    <mergeCell ref="W36:W37"/>
    <mergeCell ref="W32:W35"/>
    <mergeCell ref="W29:W31"/>
    <mergeCell ref="W27:W28"/>
    <mergeCell ref="W25:W26"/>
    <mergeCell ref="W23:W24"/>
    <mergeCell ref="W21:W22"/>
    <mergeCell ref="W16:W20"/>
    <mergeCell ref="W13:W15"/>
    <mergeCell ref="U80:U81"/>
    <mergeCell ref="V54:V56"/>
    <mergeCell ref="U54:U56"/>
  </mergeCells>
  <pageMargins left="0.47244094488188981" right="0.27559055118110237" top="0.39370078740157483" bottom="0.35433070866141736" header="0.31496062992125984" footer="0.31496062992125984"/>
  <pageSetup paperSize="9" scale="57" orientation="landscape" r:id="rId1"/>
  <rowBreaks count="3" manualBreakCount="3">
    <brk id="31" max="22" man="1"/>
    <brk id="61" max="22" man="1"/>
    <brk id="84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Sheet1 (2)</vt:lpstr>
      <vt:lpstr>Sheet1!Print_Area</vt:lpstr>
      <vt:lpstr>'Sheet1 (2)'!Print_Area</vt:lpstr>
      <vt:lpstr>'Sheet1 (2)'!Print_Titles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DoanhTrai-PC</cp:lastModifiedBy>
  <cp:lastPrinted>2026-03-16T01:48:53Z</cp:lastPrinted>
  <dcterms:created xsi:type="dcterms:W3CDTF">2024-05-02T01:49:53Z</dcterms:created>
  <dcterms:modified xsi:type="dcterms:W3CDTF">2026-03-16T01:50:39Z</dcterms:modified>
</cp:coreProperties>
</file>